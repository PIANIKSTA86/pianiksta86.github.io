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lia\OneDrive\Escritorio\julian\"/>
    </mc:Choice>
  </mc:AlternateContent>
  <xr:revisionPtr revIDLastSave="0" documentId="8_{03813B65-6EA7-4DC1-B46C-F4BF23D37DFA}" xr6:coauthVersionLast="47" xr6:coauthVersionMax="47" xr10:uidLastSave="{00000000-0000-0000-0000-000000000000}"/>
  <bookViews>
    <workbookView xWindow="-120" yWindow="-120" windowWidth="20730" windowHeight="11040" xr2:uid="{B4A3673D-A4E7-4BEC-8F8E-EEE635998A38}"/>
  </bookViews>
  <sheets>
    <sheet name="MODELO PROFORMA" sheetId="1" r:id="rId1"/>
  </sheets>
  <externalReferences>
    <externalReference r:id="rId2"/>
    <externalReference r:id="rId3"/>
    <externalReference r:id="rId4"/>
  </externalReferences>
  <definedNames>
    <definedName name="_xlnm.Print_Area" localSheetId="0">'MODELO PROFORMA'!$A$1:$P$35</definedName>
    <definedName name="clientes" localSheetId="0">#REF!</definedName>
    <definedName name="CLIENTES.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1" l="1"/>
  <c r="L23" i="1" s="1"/>
  <c r="H23" i="1"/>
  <c r="I23" i="1" s="1"/>
  <c r="F23" i="1"/>
  <c r="E23" i="1"/>
  <c r="J23" i="1" s="1"/>
  <c r="O23" i="1" s="1"/>
  <c r="D23" i="1"/>
  <c r="C23" i="1"/>
  <c r="K22" i="1"/>
  <c r="J22" i="1"/>
  <c r="J24" i="1" s="1"/>
  <c r="I22" i="1"/>
  <c r="H22" i="1"/>
  <c r="G22" i="1"/>
  <c r="G24" i="1" s="1"/>
  <c r="F22" i="1"/>
  <c r="E22" i="1"/>
  <c r="D22" i="1"/>
  <c r="C22" i="1"/>
  <c r="C19" i="1"/>
  <c r="C18" i="1"/>
  <c r="C17" i="1"/>
  <c r="C16" i="1"/>
  <c r="C15" i="1"/>
  <c r="C13" i="1"/>
  <c r="I24" i="1" l="1"/>
  <c r="O22" i="1"/>
  <c r="O24" i="1" s="1"/>
  <c r="L22" i="1"/>
  <c r="L24" i="1" s="1"/>
</calcChain>
</file>

<file path=xl/sharedStrings.xml><?xml version="1.0" encoding="utf-8"?>
<sst xmlns="http://schemas.openxmlformats.org/spreadsheetml/2006/main" count="46" uniqueCount="45">
  <si>
    <t>DOMESTIKO SAS</t>
  </si>
  <si>
    <t>NIT:  901.428.834-2</t>
  </si>
  <si>
    <t>PROFORMA -</t>
  </si>
  <si>
    <t xml:space="preserve">CLIENTE </t>
  </si>
  <si>
    <t>FECHA PROFORMA</t>
  </si>
  <si>
    <t xml:space="preserve">CLIENTE RECOJE </t>
  </si>
  <si>
    <t>X</t>
  </si>
  <si>
    <t>CLIENTE</t>
  </si>
  <si>
    <t>ASESOR</t>
  </si>
  <si>
    <t>CIELO ALDANA VILLAMIZAR</t>
  </si>
  <si>
    <t>NIT</t>
  </si>
  <si>
    <t>1143879503-6</t>
  </si>
  <si>
    <t>TELEFONO</t>
  </si>
  <si>
    <t>CONTACTO</t>
  </si>
  <si>
    <t>ZONA</t>
  </si>
  <si>
    <t>SUR</t>
  </si>
  <si>
    <t xml:space="preserve">CORREO ELECTRONICO </t>
  </si>
  <si>
    <r>
      <t xml:space="preserve">FECHA ESTIMADA DE ENTREGA     </t>
    </r>
    <r>
      <rPr>
        <b/>
        <sz val="10"/>
        <color theme="1"/>
        <rFont val="Arial"/>
        <family val="2"/>
      </rPr>
      <t>(SUJETA A CAMBIO)</t>
    </r>
  </si>
  <si>
    <t>DIRECCIÓN</t>
  </si>
  <si>
    <t>CIUDAD</t>
  </si>
  <si>
    <t>IMAGEN</t>
  </si>
  <si>
    <t>CODIGO</t>
  </si>
  <si>
    <t>DESCRIPCION DEL PRODUCTO</t>
  </si>
  <si>
    <t>FORMATO/ TALLA</t>
  </si>
  <si>
    <t xml:space="preserve">m2 O UND X CAJA </t>
  </si>
  <si>
    <t>UNIDAD DE EMPAQUE</t>
  </si>
  <si>
    <t xml:space="preserve">CANTIDAD </t>
  </si>
  <si>
    <t>PESO KG</t>
  </si>
  <si>
    <t>TOTAL PESO</t>
  </si>
  <si>
    <t>CANT M2 Ó UNIDADES</t>
  </si>
  <si>
    <t>CAJAS X PALLET</t>
  </si>
  <si>
    <t>CANTIDAD PALLET</t>
  </si>
  <si>
    <t>VALOR UNITARIO m2</t>
  </si>
  <si>
    <t>VALOR TOTAL</t>
  </si>
  <si>
    <t>P6650</t>
  </si>
  <si>
    <t>TOTALES</t>
  </si>
  <si>
    <t>DOMESTIKO SAS                                                                     NIT. 901.428.834-2                                                                                        CUENTA DE AHORROS                                                                                   81200001736</t>
  </si>
  <si>
    <t>CONDICIONES DE PAGO</t>
  </si>
  <si>
    <t xml:space="preserve"> NIT. 901.428.834-2</t>
  </si>
  <si>
    <t>30% REALIZAR RESERVA                                    70% AL MOMENTO DE ENTREGA EN PUERTO</t>
  </si>
  <si>
    <t xml:space="preserve"> CUENTA DE AHORROS  BANCOLOMBIA</t>
  </si>
  <si>
    <t>OBSERVACIONES:</t>
  </si>
  <si>
    <t>1) El descargue de la mercancia lo asume el cliente.</t>
  </si>
  <si>
    <t xml:space="preserve">2) Verificar la mercancia en cuanto a cantidad y estado antes de salir. </t>
  </si>
  <si>
    <t>3) Es responsabilidad del cliente despues de que la mercancia sale de bodega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</si>
</sst>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\ * #,##0_-;\-&quot;$&quot;\ * #,##0_-;_-&quot;$&quot;\ * &quot;-&quot;_-;_-@_-"/>
    <numFmt numFmtId="164" formatCode="dd/mm/yyyy;@"/>
    <numFmt numFmtId="165" formatCode="[$-F800]dddd\,\ mmmm\ dd\,\ yyyy"/>
    <numFmt numFmtId="166" formatCode="[$-240A]d&quot; de &quot;mmmm&quot; de &quot;yyyy;@"/>
    <numFmt numFmtId="167" formatCode="_(&quot;$&quot;* #,##0.00_);_(&quot;$&quot;* \(#,##0.00\);_(&quot;$&quot;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8"/>
      <color theme="1"/>
      <name val="Arial Black"/>
      <family val="2"/>
    </font>
    <font>
      <b/>
      <sz val="30"/>
      <color theme="1"/>
      <name val="Arial Black"/>
      <family val="2"/>
    </font>
    <font>
      <b/>
      <sz val="48"/>
      <color theme="1"/>
      <name val="Arial Black"/>
      <family val="2"/>
    </font>
    <font>
      <b/>
      <sz val="30"/>
      <color theme="0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20"/>
      <color theme="1"/>
      <name val="Calibri"/>
      <family val="2"/>
      <scheme val="minor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b/>
      <sz val="22"/>
      <name val="Arial"/>
      <family val="2"/>
    </font>
    <font>
      <b/>
      <sz val="22"/>
      <color theme="1"/>
      <name val="Arial"/>
      <family val="2"/>
    </font>
    <font>
      <b/>
      <sz val="24"/>
      <color theme="1"/>
      <name val="Arial"/>
      <family val="2"/>
    </font>
    <font>
      <sz val="2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vertical="center"/>
    </xf>
    <xf numFmtId="165" fontId="9" fillId="3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165" fontId="8" fillId="0" borderId="9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7" fontId="9" fillId="3" borderId="3" xfId="2" applyFont="1" applyFill="1" applyBorder="1" applyAlignment="1">
      <alignment horizontal="center" vertical="center" wrapText="1"/>
    </xf>
    <xf numFmtId="167" fontId="9" fillId="3" borderId="5" xfId="2" applyFont="1" applyFill="1" applyBorder="1" applyAlignment="1">
      <alignment horizontal="center" vertical="center" wrapText="1"/>
    </xf>
    <xf numFmtId="167" fontId="9" fillId="0" borderId="3" xfId="0" applyNumberFormat="1" applyFont="1" applyBorder="1" applyAlignment="1">
      <alignment horizontal="center" vertical="center" wrapText="1"/>
    </xf>
    <xf numFmtId="167" fontId="9" fillId="0" borderId="5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1" fontId="15" fillId="3" borderId="13" xfId="0" applyNumberFormat="1" applyFont="1" applyFill="1" applyBorder="1" applyAlignment="1">
      <alignment horizontal="center" vertical="center"/>
    </xf>
    <xf numFmtId="42" fontId="15" fillId="0" borderId="6" xfId="1" applyFont="1" applyBorder="1" applyAlignment="1">
      <alignment horizontal="center" vertical="center"/>
    </xf>
    <xf numFmtId="42" fontId="15" fillId="0" borderId="7" xfId="1" applyFont="1" applyBorder="1" applyAlignment="1">
      <alignment horizontal="center" vertical="center"/>
    </xf>
    <xf numFmtId="42" fontId="15" fillId="4" borderId="3" xfId="1" applyFont="1" applyFill="1" applyBorder="1" applyAlignment="1">
      <alignment horizontal="center" vertical="center"/>
    </xf>
    <xf numFmtId="42" fontId="15" fillId="4" borderId="5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42" fontId="15" fillId="0" borderId="0" xfId="1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42" fontId="15" fillId="0" borderId="15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2" fontId="15" fillId="0" borderId="0" xfId="1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2" fontId="9" fillId="0" borderId="0" xfId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42" fontId="9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</cellXfs>
  <cellStyles count="3">
    <cellStyle name="Moneda [0]" xfId="1" builtinId="7"/>
    <cellStyle name="Moneda 2" xfId="2" xr:uid="{B189D31A-053C-4224-9FC0-EF0EDCFB0A3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304800" cy="320675"/>
    <xdr:sp macro="" textlink="">
      <xdr:nvSpPr>
        <xdr:cNvPr id="2" name="AutoShape 1" descr="blob:https://web.whatsapp.com/19e67e11-4fba-4549-85e2-17b5d2617998">
          <a:extLst>
            <a:ext uri="{FF2B5EF4-FFF2-40B4-BE49-F238E27FC236}">
              <a16:creationId xmlns:a16="http://schemas.microsoft.com/office/drawing/2014/main" id="{F1230FBA-C44A-4240-AB64-BC57B9B45D06}"/>
            </a:ext>
          </a:extLst>
        </xdr:cNvPr>
        <xdr:cNvSpPr>
          <a:spLocks noChangeAspect="1" noChangeArrowheads="1"/>
        </xdr:cNvSpPr>
      </xdr:nvSpPr>
      <xdr:spPr bwMode="auto">
        <a:xfrm>
          <a:off x="0" y="5810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304800" cy="320675"/>
    <xdr:sp macro="" textlink="">
      <xdr:nvSpPr>
        <xdr:cNvPr id="3" name="AutoShape 2" descr="blob:https://web.whatsapp.com/19e67e11-4fba-4549-85e2-17b5d2617998">
          <a:extLst>
            <a:ext uri="{FF2B5EF4-FFF2-40B4-BE49-F238E27FC236}">
              <a16:creationId xmlns:a16="http://schemas.microsoft.com/office/drawing/2014/main" id="{ADF788BC-FD33-4BBB-832B-ACCAFFBCFC9E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631237</xdr:colOff>
      <xdr:row>3</xdr:row>
      <xdr:rowOff>205214</xdr:rowOff>
    </xdr:from>
    <xdr:ext cx="3935371" cy="2285999"/>
    <xdr:pic>
      <xdr:nvPicPr>
        <xdr:cNvPr id="4" name="Imagen 3">
          <a:extLst>
            <a:ext uri="{FF2B5EF4-FFF2-40B4-BE49-F238E27FC236}">
              <a16:creationId xmlns:a16="http://schemas.microsoft.com/office/drawing/2014/main" id="{8B68C074-7017-4882-BE6B-BFC87601F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412" y="776714"/>
          <a:ext cx="3935371" cy="228599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304800" cy="32085189"/>
    <xdr:sp macro="" textlink="">
      <xdr:nvSpPr>
        <xdr:cNvPr id="5" name="AutoShape 1" descr="data:image/png;base64,iVBORw0KGgoAAAANSUhEUgAAAKMAAABTCAYAAADz/reZAAAAAXNSR0IArs4c6QAAFypJREFUeF7tneeOGzcURrXpvToFKUgM5P2fKD+MACmInd7sxNkNziBH+JaeQo44knYTAQutJA7n8vK7lZeci/v3719dXFzsytfV1dWO7/2Nz7/88svupZde2j399NOT7fMHruHFO39PPfXU8Od3T3SywRd//PHH7u+//969/PLL+7E4psvLyx1/0uf/vNOG63h/4YUXds8888zQju/gAzx49tlnh885Hr5/7rnnht/l4W+//Tb0wcvvucejR4/2POE+8GaMtxuw5ey6HHh9eXk5IKYEpIyUaj4/fvx4B2MBJIyTgbwn4LzGyeWzEwyzx8C/BXcYIPTyevXVV68JFt/xO3+Ozc/QKhABFkBWsB4+fDiA6Pnnnx/GBNgBKi++oz2fBZ285Tpoee2114bf6P+vv/7afffddzt+gyevv/767s6dO3uB3YIn59gnvP3zzz93F1dyuYJKmjIR/MFQtQOMnNKWXMOk+RLEWwOS+wqcF198cQAJ9xRoCohAZEz8D7hsx5gAGOAStAoYmk4+qNEEowBEeKGBe3Pdr7/+unvllVeG/riGPn/++efhntybdm+//fYe3BVTciObpOLy/2Ywpskd03qYrTENqynT7Guqt+Qk9KGJmHj/GDjaKOUP2n7//fe9SwJTAAVtGE/SSlv6pT9NPFYix53j5/4PHjwY+nvjjTeGawCx1oHP0PPDDz8MVod+3nrrreH9tr5UTlpVlcJgOVs0YzIo/UGBqYbMCXHSBDITsTUYVftMsFqLCYYWwKY0yhjbY8pTcNLUSn/JRICWv6kV0ZqYYGgAgIBR7ZyuD/e+f//+QBsaHBpuu9+oy6Z7t3fj1oKxlFwnOIOekun6YVv6jQJM8yggNb0KB98baEAP3wNYzXb6zKXg0c5rHC9tAL7XoxH1A/Ujx/xwXR80JP1i6rcW1lNr3eSnwjtgAzCWTFpD7Jj6HetH/3EMtGvuO3UPI161jCDEJDLh+Ga8FIzkAYwBrHwn6Pif7zHRgjYtAP8L/Hv37g2BCtqQ9nP+sf1yLe1K16AXT07dT4kxg0X5MxtN1xKvRqQ9DHVyp6Q7zeBWGgCafvrppz0QoIv7EkB8/PHHw9BKoSgB4+9cp2shQ6c0HPf5/PPPd+++++4AxBYLkJOzFV9q57R3OxWVwu/n0h+/ePz48T6106qtMgXCjYyU+d7/xwaGSXKiekfVmkmjYwDC/9BE2sRI1nbc39TM2klQIL///vtB6+L7tWYNDI6O4VOvHeea6+AN802QaI5ai5M+46AZAeOaHKA3ISBgMvGLRLoBzVS6x4Qvjn0vLaC5Y+D88YI2/rgPKRWjZP2UWuYuuTHeGzC+8847Q7fJ6CWB43roNNpeal9L96nbiRGsFEBEUPkuXRf9xwGDJL3T1M5ptDIgUcMJOpno5HjjcvL5Hp8OonoAMv0uaBLgCgqaak77ZXS3ZgIdD+9Ew+Uq05LPyP3RHLzn9WtoOZdrNMXkUfGDAaNBWlpgwbgPYBhACci5QdlWJo8xWxMOAUhEqSUBiqp7LD85dn8JL8GtidNV8F0fdkn7Enmbi1wzmdCFVoThCFcKZY0WhlckvqH3toCROWGOSVt98MEHA1vhU5lDvaYZy9ROAm0MZF5cY0r0y0wUlxrDBLTrtnMALIGYnzUHRrOmXmp9YHxKI9ka8CSdagCCIxPgKdw1NGimkwa+WxKiNYJzjGscDwKKEiJzoWIoLdSoZpRITZZ+Ugk6TV8to+wHSbEwwPQF95LIscjTiTaynTKn9gNt0KWjXEOjAmMKJ4s5aiaO6/GJNEWCWb+51u1xjOYqU8vX0HEubVQMuGFfffXV7rPPPtv76mCptJCzYMxBZfoj/UMB1sIANa7E0jcBhbk7HX7buQZu0UECMnOD0KDzT0GDWrEGiOkDp6mu0fpqP+hEoPBLk9EtYLQvha2F9pY52Lqtgo3LwVIo2Qvn1ZWwkoYmMAoOGdSLUTAeAPAyunKprizBStPJ4GgHCBQQAJ0FCLVgSsbAwCz8WJo4+AL90IAmLs2P+dQazci94IfB101dm3ZOsRQCkbG57j6VXaHNtQBmjPkGBmm60jlfM+np69G/VTKZm3NyBGF5H803764fHyok9GVp2NK41O4//vjjkNweC8BKzbjka+tqaDEOHc+SMPX+XWHCd+Z/Cj7S9Zhab1/UjDLShmNOp7/paCfIXNqSgGRsXqfWhTGlz7jGFTiEwdwP4ZhLVksT7wgR2QCYrp+XIFZg7G8JjJao6bbctGIJtLo8YSmUDIoVUHPW4RoYLa5NvyXN4lhHggjmu1yW/qX/l/nHBItE5HWn0gbS4nr0UqrJpTvbZ3GD0XOCu2ZcgtF5GFv/PkTYtrxW86yrg8sEOOEFvFnKs+7NtElvtZkmeclUpfNf23ZLhvTo26VDhGiOiYIXs45Z4g++cf2nn366Z75+Y+1yo0JOohjtwqsGyD3Gfkgf7gBI3x1/2pxrNRgfPnx4NVUcegiBN/FaTSvmF57kEufYeFw5ob3CTNLabRlpQWoF1muohcwg4Fz5CQAZP+DD7+dPi6kQVoOxVz3juTKrlS6jZBjodgH+n/J7mAxyakyGgc2HH344+MAm4Vu0mzWfaFtSVefuO2KOoZV3hQeLsSTIaVmrounWibwN7QFU1jKmVI+tpriUx4RwHdrgkH0s5hrhZW5+O0fewitoRDPyskjEwKXGGixG0+c48GPS5Lp6TTmX4BWMTIAR9qE0M6m8lgKqQ++z9nr4hFVACPl78803B2EEoAQx/4NxLWfjOgAGuAhiloCgZAMck/gEHzUTsUQqJttCkx79Ld2v9XddGsZOJI2/CAh1MWoCt/81YwXX9YPYy1zj85neQEMYCVfcZraJPiga+lx9R8aNJmTVBSACSLfkWr/4fwBzIBIAFb4QDK4Bo+Ya5z1PrziQjP1+7ZYtDIfes+V6S8WI/jHTAJDvvv3226EcTsEUkGOrafsAZupEiRaCbmNbTI/bTGvB6OkSbm3owRdXw85ZM6oVpREwuu8I8LkT07xjrq5dM9MPHjy4opFrwz0YeBv6AAQUhhIhjkXROUbzk5grq8p7+XjWByztMuzJ81wVmxqHK0zstgSEakC/5zr8Xfxo87bQSDu37tLmGhjv3bt3BQNdT+SCXozsyaBj94U0f/HFF7tPPvmkyl8DNJgqfExMVa+XS489/cZcJ886BIEE7XxP8JZBSOICutCI7A+/e/fuUGSie2L/CqkrUbS33K48iWNIaT169OiK6hNuCij/C5vIa4ACA2F0bc4QxqMBkPoe68qpMbLwJJPva5WGfVvcAJDci5Q5QtohBJ6ake4KLgn8YVuu5nkpFSbYs5onC0mGDVmuIkAUJVFLi9s1k3nT25jeWdrMxTjVADDZItJkeAsvUqt4Hd9Z62mtY63ZljZdDZP0ajy38VqY7Hh45zc1M/nE9957b6CDa4mYDfDMKWapoX6hSfw0yVrf5NvQ3uVAj2cD3SYvW5h429q67lxWcE+NU1PE79ZYrnF5nMQ0pU4a72oXz+2x3VgZmytJbu3wWtoaZE1FuSlkLvlxT/ri5ZZgzxEa2yFaAlDepUZPU74Ho9L39ddfDxLwXzXXajQYZ+VJbTSt1umZ2inBr4/HuwDIoEEAGPjoawryuXX2OYViiZv3hze4d++///61PS5zAQ/9W68p2KEL/j5R6c2NLAcioHES1vomN1Fb5mSb2qkZvxLuAQJbuTqlllQzwuvUjglUNXTNOJbmDP5gqjHbHoxQWoA54VUoBGburXriSDway1D9kh6DWBrkufyulllTcS1ja2v5eow5zXn6mM5ZTn6P+wFG/EXAnnvExwCYgjKGId0OgTl6PiONQL5HtC3l2XoM8hh91E6Mwti6MUqtoRDPldv3HG9O+ho/tZYWFZX51KUC5BSUOfNNuyFjMFXPyI8A8jaZ6zEtUk5EOvk1vmJqI/2g3L7Q0kctKE7VTp/Yiu4lczwWsIzRrusxCUZvTEMz5reJsVMTyrgNDgwGWt0US6owZbUpmFMBrPa+4IBUD/lFzHOa6No+ptotgpELuTkqGXPlWdS3HZAZhWZqomXc9gGTl0rQDp3IY1yvb2c6p9xWfAgNWqsnoumyUzQEBGh2anNuhxB3ymsdLzSkv9jiMyvlgNckeKtmPSUPpsyoqzX4iT0zBdVgVCIAIxGUG27OjVm96GGcAgjzWhvw5P0TjPqQLVq111h69sOYyBCYJehtoqF1UTOmcw5BVGhQo9azRKon0w7ty6UvVyjW9CcYM893GzSjTxpjLOQXe72qNWMp8SQ7PfpNVX3TGZ1j1EwLxpqxZYRuimKpYKDXRB6rH1M67vrrubV5FRgZOJNFGRAd6D/2LG1qZe4aMzp3D8y0p6vWVFaPRd55OmvreM61vatSHC7gY+/0o2sEdm5cs2Ccm2BzcKxJqq5LMHr9oUTWTExPMKrVrLdbur/trdLRPzzm+Jdo7PW7aT544ynEWaHDfdbO9yQYaybXScCH8PB2HFo7LQMAvj/Xkvn0ifmfJH/NxvkM7PSf8Tdv61o+2t5tsx5MYCHN2sKLkvfVAUwpYU6Gex0szrS8iO/dGdYz8uol6WU/LuPVJKkVRsZIex8DpxDe9Mi5jBMYVx4moF/NnFsJntaxVUOu9hlLQv3s8cjWuw1PyIzjQVrXeFtAl6mUVkZ4Hxf/a3YC5pIYpfPc0xWb2wREYwTO5YYvZW6RMbPNgtiB+V0b1HQBYxmFohXLRLE+Zk0w0ALAMc12CBByZWEJ0AY5XMMkaZ6vlc+PPEz+kPGd6lrG5vJfmXdVCeDawDPNtvNQO+fdwWhSdKwg1/0bx6pgWTNxFo4unYBgO5jviROaqCzZgoZDhGPNGGqu0b2qWVFC87GtgHF4stiYu+ZGNPf+uF+mNsuyCRglvPQRZcC5TpDmCKZOuRPXGHZxMWgCNALXZFVTRpVLGrYGPIe0yWBULWZ/qcXHImHae1wLAd2ckNIWK8HmLEsOjbQ9m32OF93B6IT6PJXSv5jTPDUR/CGTUnOtTnn5POj0Kf3f4gn9TDcyydRTg3CM5pIHasYpmvWLea85wIn5JQepQtJlgzdgYaxyqbQkq6PpsQlW+tw9lgSUyWGvT61ZYzpqgNXaRhpYd810Bf1M0acvbJR5bmViJd1j2m+KTyU/atJyakcWRPAxM7MAb1xCph1aUwuUVVFdwejkZWFpagkHqS9lvsotmKfaACZdpnfy0XJ8J53pkLsiwVo9x9852eeiFVUM0tPiv3Kt2wqmfMUxIGtduBaw+fQzQOYyIi6c/DX67mKmp5xhpWTMgc1r3NqJJOX2hlbNdkj7UmMbGTuJ/F4+jsOJRpPyuye0lkcGnxKYCosJ6bHAY4w+geHxdlNjmDLv8ob7c+0333wzaEL+4JepM013ukXdNWOa30x5lGbZp0oBWAj3/OxjT6ACoeYwkZ1ghIl8dpXJ82MsphgTulNmDhQwTWIGLakxk9fpIumClJbAfkxtZTFJqXl9uBKWA+3KZ0w4VpDjX3xWpEnzfdqo95neBiQS7bkzShOTC1F8Txuc3FMkjaFHE5zgcxLULviFMNuj3jzCxMfI8Ztjq82tHaLNl641WNR1EJzQ64qZj7QrXacSoAampWKhHbxDqWRqKwVAQWe+9RNp++WXXw4H8PMy8wJtg999CBjnIkiZINDccWeBphF3PqLtmJqxNGXlWPSBYKSg9dkmtM3Vl9QsxxzDVCCZ7hBtFJi5+dLnt31pzcoAU1Nsn35O/xl+eUSKUblpMR86mkJ9EBghoCR+zCQDPG6utOgz0HbtttAlDbH0+5TP63UGNAoT35uL1Fd0Ak+VCZgbYwmOJX7kvBnlLgmWUfNU38ytAUyWnsF7n7soKAceHqoZ5whOU5iaRseVazUrxzRxSw6+IMtIEOZJo9Kc/ljtZB+rXWqulmi6hr4lDZsCjWYEcOU5586B2nN233QNUUttUoXzv2VIHr+WPskxc3VLWrHUjh6cxPe5Qb/3JC/xs/V3U1Mu0bVeP9V+iHz/fTbOVBuDJeZ8DIypielvKK6p1YwGJi0DSjPOhKpp8pG4tjmWqZNJjGMuoauZhi4cfpiFFLtlN531JXPWwrNebRU43msS173uW/ZjwDpXEQWNw+rdMcDIZOkzclMI80BNfcbe0jvFXGsup9ZbTW2Y5jFNQ+6NF6kKNf4pNWOp3VPwHYMC3otOTX+L8FmYW5aZ5fzozlWDcY3kyCCu1ZnV7zLC0wRutdndSYMGmJipjjTH6VKYW/Q5MNBuSicPSe81yWt4q18rMHKcuj+9wbjGOiLU5h2ndpVqrTYFY5oKzbS+hgRYLb3lxKYroL/jZPKO1oM+i4ONEj1Jwwd6e/KWSdotaa4BqAKU/pdaEdqgN92Jmj57t3Ge1apTgepmKzAOyIkv0yRMptIiGHszIfsTjE6US3lqDiP68ixuk92AkRdgLYsptqR7ru+9Nvm3kFfBN0rNk2nXmNee40qlVK5OpUXaRDOWptETzWBQJruPtQwoPS7Yuy1CxpQ+EJMHQM2L6kpgorfcQtECAMGYtYl8lybRfOE5+LhTY5O2zTSjGkiVbETFZFKUCiDLAoOWiWhtm0EJ9y19n1wOzL59MBHf5RbN1vtv0d5JTEEqg5r0ifWZW4KPLegu+9wcjPpjJrqtAmFCCQQAae3ziHswxGiNdwOlJdOl5rEkrmbnYA9ap/rIiqIEnbx22bL0ydJ8H3NhoZYXRwOji+mYDsBHftFoFsYcKwAQjE6GKz811TWmngwIapncu52+IHRkQJbBy1wiek0k3HsMY/0dBYzc2LN5+N8nIsFIfDc+bw3GnDQ1ofesnRzb1bbfcgKvTdy/e3HUjPC0pRh2Szpb+j4KGHWmKcFCYikVA5yAAlN9586dAYxb+jC5Bm26ZmsBaJmI1rZqeAMTxsJfVstvyc9Weqc0Yenn0m6zAMbOXf6zBEspxvTxJK5jrEcLyHTgz33CpiYxfcXcAozAm6DfWtjGAqcpkKqQfAQc821moqRzUzByU5cA9RMzKACMFnn2kLg5hnhf2qQT7+Tm0t+WtKztO12ETN8gVB5AQKbiGMKtQqkRaPPLCAt892FNlo1ZeL25ZuSGHjDpeTQwTj8uN+YkUWsnbO46hQHQZeW5gYxac2utsmZsqdmlDz66to6vyOscz8vUrQCMnuvJtgNSfc6FNQmbaUaJcNsqN0dTwljfkRR8x48++uja1sU1EzZ3TaY2AJ8VLOcQkMxFl2Xu0wCsNJP6wvqRPSt0DuVRWh7yyy65ErwiUG5ZcEvEJiswql00o0EKEswfBLK9k3c2fvPis0tzNeq/FrA5gaUpPpTRtTS0ttNyqAX9nKkdaHd1KOsre45J0Gs1WsehOdcqoZjc5K975hjR6sNc1ZaQtRAjAYDN3KLLazDPU2/5DhVOe1dltpJsJfEcTbG8VZPwOVNQAiOFi/+zAmppfloCj6W+Wn7XSsJ/TLVLqgoT43TnZXcwcnMkwJWLTMTCQMFoCRlEcRIu7/gPnl3TU0PCPF2Esm7yVJNUTqhBVo5b0ys4M5p2TLzXCHACXSvUAqo1bdNF4nowgfKxDE9s7AtUemtGJh3zbLCiX2AJGVoxtx1AMCocLWqKgkcM92BYmhqYwX0YeGrH0iyuYXqPa5w4V1gYv5pwihcCuDZf28P0to5VK6lAMccoHqN/ham7mRZYDlpAyjTD+3KNFEJyozfaEw2ZoG1lgppDc5aapKx00dc6pQlPf08QpqBMWYoE7BoebX2N/q0+L8Gsq0V5KNQwjsvLy6sWJ3XOSeY3K7r1EQGeDurUKV86u5yE6r5qNJinoq412TIiNYdHPo/5aT208aGTqyBbY0l/c0f1ZTRde++egU7NPbWKpqPcpGWcoBX4B96I6NI27Bi6AAAAAElFTkSuQmCC">
          <a:extLst>
            <a:ext uri="{FF2B5EF4-FFF2-40B4-BE49-F238E27FC236}">
              <a16:creationId xmlns:a16="http://schemas.microsoft.com/office/drawing/2014/main" id="{CBE39EB7-D7DE-484F-B98A-7FFD848A47EA}"/>
            </a:ext>
          </a:extLst>
        </xdr:cNvPr>
        <xdr:cNvSpPr>
          <a:spLocks noChangeAspect="1" noChangeArrowheads="1"/>
        </xdr:cNvSpPr>
      </xdr:nvSpPr>
      <xdr:spPr bwMode="auto">
        <a:xfrm>
          <a:off x="0" y="12068175"/>
          <a:ext cx="304800" cy="32085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304800" cy="32085189"/>
    <xdr:sp macro="" textlink="">
      <xdr:nvSpPr>
        <xdr:cNvPr id="6" name="AutoShape 3" descr="data:image/png;base64,iVBORw0KGgoAAAANSUhEUgAAAKMAAABTCAYAAADz/reZAAAAAXNSR0IArs4c6QAAFypJREFUeF7tneeOGzcURrXpvToFKUgM5P2fKD+MACmInd7sxNkNziBH+JaeQo44knYTAQutJA7n8vK7lZeci/v3719dXFzsytfV1dWO7/2Nz7/88svupZde2j399NOT7fMHruHFO39PPfXU8Od3T3SywRd//PHH7u+//969/PLL+7E4psvLyx1/0uf/vNOG63h/4YUXds8888zQju/gAzx49tlnh885Hr5/7rnnht/l4W+//Tb0wcvvucejR4/2POE+8GaMtxuw5ey6HHh9eXk5IKYEpIyUaj4/fvx4B2MBJIyTgbwn4LzGyeWzEwyzx8C/BXcYIPTyevXVV68JFt/xO3+Ozc/QKhABFkBWsB4+fDiA6Pnnnx/GBNgBKi++oz2fBZ285Tpoee2114bf6P+vv/7afffddzt+gyevv/767s6dO3uB3YIn59gnvP3zzz93F1dyuYJKmjIR/MFQtQOMnNKWXMOk+RLEWwOS+wqcF198cQAJ9xRoCohAZEz8D7hsx5gAGOAStAoYmk4+qNEEowBEeKGBe3Pdr7/+unvllVeG/riGPn/++efhntybdm+//fYe3BVTciObpOLy/2Ywpskd03qYrTENqynT7Guqt+Qk9KGJmHj/GDjaKOUP2n7//fe9SwJTAAVtGE/SSlv6pT9NPFYix53j5/4PHjwY+nvjjTeGawCx1oHP0PPDDz8MVod+3nrrreH9tr5UTlpVlcJgOVs0YzIo/UGBqYbMCXHSBDITsTUYVftMsFqLCYYWwKY0yhjbY8pTcNLUSn/JRICWv6kV0ZqYYGgAgIBR7ZyuD/e+f//+QBsaHBpuu9+oy6Z7t3fj1oKxlFwnOIOekun6YVv6jQJM8yggNb0KB98baEAP3wNYzXb6zKXg0c5rHC9tAL7XoxH1A/Ujx/xwXR80JP1i6rcW1lNr3eSnwjtgAzCWTFpD7Jj6HetH/3EMtGvuO3UPI161jCDEJDLh+Ga8FIzkAYwBrHwn6Pif7zHRgjYtAP8L/Hv37g2BCtqQ9nP+sf1yLe1K16AXT07dT4kxg0X5MxtN1xKvRqQ9DHVyp6Q7zeBWGgCafvrppz0QoIv7EkB8/PHHw9BKoSgB4+9cp2shQ6c0HPf5/PPPd+++++4AxBYLkJOzFV9q57R3OxWVwu/n0h+/ePz48T6106qtMgXCjYyU+d7/xwaGSXKiekfVmkmjYwDC/9BE2sRI1nbc39TM2klQIL///vtB6+L7tWYNDI6O4VOvHeea6+AN802QaI5ai5M+46AZAeOaHKA3ISBgMvGLRLoBzVS6x4Qvjn0vLaC5Y+D88YI2/rgPKRWjZP2UWuYuuTHeGzC+8847Q7fJ6CWB43roNNpeal9L96nbiRGsFEBEUPkuXRf9xwGDJL3T1M5ptDIgUcMJOpno5HjjcvL5Hp8OonoAMv0uaBLgCgqaak77ZXS3ZgIdD+9Ew+Uq05LPyP3RHLzn9WtoOZdrNMXkUfGDAaNBWlpgwbgPYBhACci5QdlWJo8xWxMOAUhEqSUBiqp7LD85dn8JL8GtidNV8F0fdkn7Enmbi1wzmdCFVoThCFcKZY0WhlckvqH3toCROWGOSVt98MEHA1vhU5lDvaYZy9ROAm0MZF5cY0r0y0wUlxrDBLTrtnMALIGYnzUHRrOmXmp9YHxKI9ka8CSdagCCIxPgKdw1NGimkwa+WxKiNYJzjGscDwKKEiJzoWIoLdSoZpRITZZ+Ugk6TV8to+wHSbEwwPQF95LIscjTiTaynTKn9gNt0KWjXEOjAmMKJ4s5aiaO6/GJNEWCWb+51u1xjOYqU8vX0HEubVQMuGFfffXV7rPPPtv76mCptJCzYMxBZfoj/UMB1sIANa7E0jcBhbk7HX7buQZu0UECMnOD0KDzT0GDWrEGiOkDp6mu0fpqP+hEoPBLk9EtYLQvha2F9pY52Lqtgo3LwVIo2Qvn1ZWwkoYmMAoOGdSLUTAeAPAyunKprizBStPJ4GgHCBQQAJ0FCLVgSsbAwCz8WJo4+AL90IAmLs2P+dQazci94IfB101dm3ZOsRQCkbG57j6VXaHNtQBmjPkGBmm60jlfM+np69G/VTKZm3NyBGF5H803764fHyok9GVp2NK41O4//vjjkNweC8BKzbjka+tqaDEOHc+SMPX+XWHCd+Z/Cj7S9Zhab1/UjDLShmNOp7/paCfIXNqSgGRsXqfWhTGlz7jGFTiEwdwP4ZhLVksT7wgR2QCYrp+XIFZg7G8JjJao6bbctGIJtLo8YSmUDIoVUHPW4RoYLa5NvyXN4lhHggjmu1yW/qX/l/nHBItE5HWn0gbS4nr0UqrJpTvbZ3GD0XOCu2ZcgtF5GFv/PkTYtrxW86yrg8sEOOEFvFnKs+7NtElvtZkmeclUpfNf23ZLhvTo26VDhGiOiYIXs45Z4g++cf2nn366Z75+Y+1yo0JOohjtwqsGyD3Gfkgf7gBI3x1/2pxrNRgfPnx4NVUcegiBN/FaTSvmF57kEufYeFw5ob3CTNLabRlpQWoF1muohcwg4Fz5CQAZP+DD7+dPi6kQVoOxVz3juTKrlS6jZBjodgH+n/J7mAxyakyGgc2HH344+MAm4Vu0mzWfaFtSVefuO2KOoZV3hQeLsSTIaVmrounWibwN7QFU1jKmVI+tpriUx4RwHdrgkH0s5hrhZW5+O0fewitoRDPyskjEwKXGGixG0+c48GPS5Lp6TTmX4BWMTIAR9qE0M6m8lgKqQ++z9nr4hFVACPl78803B2EEoAQx/4NxLWfjOgAGuAhiloCgZAMck/gEHzUTsUQqJttCkx79Ld2v9XddGsZOJI2/CAh1MWoCt/81YwXX9YPYy1zj85neQEMYCVfcZraJPiga+lx9R8aNJmTVBSACSLfkWr/4fwBzIBIAFb4QDK4Bo+Ya5z1PrziQjP1+7ZYtDIfes+V6S8WI/jHTAJDvvv3226EcTsEUkGOrafsAZupEiRaCbmNbTI/bTGvB6OkSbm3owRdXw85ZM6oVpREwuu8I8LkT07xjrq5dM9MPHjy4opFrwz0YeBv6AAQUhhIhjkXROUbzk5grq8p7+XjWByztMuzJ81wVmxqHK0zstgSEakC/5zr8Xfxo87bQSDu37tLmGhjv3bt3BQNdT+SCXozsyaBj94U0f/HFF7tPPvmkyl8DNJgqfExMVa+XS489/cZcJ886BIEE7XxP8JZBSOICutCI7A+/e/fuUGSie2L/CqkrUbS33K48iWNIaT169OiK6hNuCij/C5vIa4ACA2F0bc4QxqMBkPoe68qpMbLwJJPva5WGfVvcAJDci5Q5QtohBJ6ake4KLgn8YVuu5nkpFSbYs5onC0mGDVmuIkAUJVFLi9s1k3nT25jeWdrMxTjVADDZItJkeAsvUqt4Hd9Z62mtY63ZljZdDZP0ajy38VqY7Hh45zc1M/nE9957b6CDa4mYDfDMKWapoX6hSfw0yVrf5NvQ3uVAj2cD3SYvW5h429q67lxWcE+NU1PE79ZYrnF5nMQ0pU4a72oXz+2x3VgZmytJbu3wWtoaZE1FuSlkLvlxT/ri5ZZgzxEa2yFaAlDepUZPU74Ho9L39ddfDxLwXzXXajQYZ+VJbTSt1umZ2inBr4/HuwDIoEEAGPjoawryuXX2OYViiZv3hze4d++///61PS5zAQ/9W68p2KEL/j5R6c2NLAcioHES1vomN1Fb5mSb2qkZvxLuAQJbuTqlllQzwuvUjglUNXTNOJbmDP5gqjHbHoxQWoA54VUoBGburXriSDway1D9kh6DWBrkufyulllTcS1ja2v5eow5zXn6mM5ZTn6P+wFG/EXAnnvExwCYgjKGId0OgTl6PiONQL5HtC3l2XoM8hh91E6Mwti6MUqtoRDPldv3HG9O+ho/tZYWFZX51KUC5BSUOfNNuyFjMFXPyI8A8jaZ6zEtUk5EOvk1vmJqI/2g3L7Q0kctKE7VTp/Yiu4lczwWsIzRrusxCUZvTEMz5reJsVMTyrgNDgwGWt0US6owZbUpmFMBrPa+4IBUD/lFzHOa6No+ptotgpELuTkqGXPlWdS3HZAZhWZqomXc9gGTl0rQDp3IY1yvb2c6p9xWfAgNWqsnoumyUzQEBGh2anNuhxB3ymsdLzSkv9jiMyvlgNckeKtmPSUPpsyoqzX4iT0zBdVgVCIAIxGUG27OjVm96GGcAgjzWhvw5P0TjPqQLVq111h69sOYyBCYJehtoqF1UTOmcw5BVGhQo9azRKon0w7ty6UvVyjW9CcYM893GzSjTxpjLOQXe72qNWMp8SQ7PfpNVX3TGZ1j1EwLxpqxZYRuimKpYKDXRB6rH1M67vrrubV5FRgZOJNFGRAd6D/2LG1qZe4aMzp3D8y0p6vWVFaPRd55OmvreM61vatSHC7gY+/0o2sEdm5cs2Ccm2BzcKxJqq5LMHr9oUTWTExPMKrVrLdbur/trdLRPzzm+Jdo7PW7aT544ynEWaHDfdbO9yQYaybXScCH8PB2HFo7LQMAvj/Xkvn0ifmfJH/NxvkM7PSf8Tdv61o+2t5tsx5MYCHN2sKLkvfVAUwpYU6Gex0szrS8iO/dGdYz8uol6WU/LuPVJKkVRsZIex8DpxDe9Mi5jBMYVx4moF/NnFsJntaxVUOu9hlLQv3s8cjWuw1PyIzjQVrXeFtAl6mUVkZ4Hxf/a3YC5pIYpfPc0xWb2wREYwTO5YYvZW6RMbPNgtiB+V0b1HQBYxmFohXLRLE+Zk0w0ALAMc12CBByZWEJ0AY5XMMkaZ6vlc+PPEz+kPGd6lrG5vJfmXdVCeDawDPNtvNQO+fdwWhSdKwg1/0bx6pgWTNxFo4unYBgO5jviROaqCzZgoZDhGPNGGqu0b2qWVFC87GtgHF4stiYu+ZGNPf+uF+mNsuyCRglvPQRZcC5TpDmCKZOuRPXGHZxMWgCNALXZFVTRpVLGrYGPIe0yWBULWZ/qcXHImHae1wLAd2ckNIWK8HmLEsOjbQ9m32OF93B6IT6PJXSv5jTPDUR/CGTUnOtTnn5POj0Kf3f4gn9TDcyydRTg3CM5pIHasYpmvWLea85wIn5JQepQtJlgzdgYaxyqbQkq6PpsQlW+tw9lgSUyWGvT61ZYzpqgNXaRhpYd810Bf1M0acvbJR5bmViJd1j2m+KTyU/atJyakcWRPAxM7MAb1xCph1aUwuUVVFdwejkZWFpagkHqS9lvsotmKfaACZdpnfy0XJ8J53pkLsiwVo9x9852eeiFVUM0tPiv3Kt2wqmfMUxIGtduBaw+fQzQOYyIi6c/DX67mKmp5xhpWTMgc1r3NqJJOX2hlbNdkj7UmMbGTuJ/F4+jsOJRpPyuye0lkcGnxKYCosJ6bHAY4w+geHxdlNjmDLv8ob7c+0333wzaEL+4JepM013ukXdNWOa30x5lGbZp0oBWAj3/OxjT6ACoeYwkZ1ghIl8dpXJ82MsphgTulNmDhQwTWIGLakxk9fpIumClJbAfkxtZTFJqXl9uBKWA+3KZ0w4VpDjX3xWpEnzfdqo95neBiQS7bkzShOTC1F8Txuc3FMkjaFHE5zgcxLULviFMNuj3jzCxMfI8Ztjq82tHaLNl641WNR1EJzQ64qZj7QrXacSoAampWKhHbxDqWRqKwVAQWe+9RNp++WXXw4H8PMy8wJtg999CBjnIkiZINDccWeBphF3PqLtmJqxNGXlWPSBYKSg9dkmtM3Vl9QsxxzDVCCZ7hBtFJi5+dLnt31pzcoAU1Nsn35O/xl+eUSKUblpMR86mkJ9EBghoCR+zCQDPG6utOgz0HbtttAlDbH0+5TP63UGNAoT35uL1Fd0Ak+VCZgbYwmOJX7kvBnlLgmWUfNU38ytAUyWnsF7n7soKAceHqoZ5whOU5iaRseVazUrxzRxSw6+IMtIEOZJo9Kc/ljtZB+rXWqulmi6hr4lDZsCjWYEcOU5586B2nN233QNUUttUoXzv2VIHr+WPskxc3VLWrHUjh6cxPe5Qb/3JC/xs/V3U1Mu0bVeP9V+iHz/fTbOVBuDJeZ8DIypielvKK6p1YwGJi0DSjPOhKpp8pG4tjmWqZNJjGMuoauZhi4cfpiFFLtlN531JXPWwrNebRU43msS173uW/ZjwDpXEQWNw+rdMcDIZOkzclMI80BNfcbe0jvFXGsup9ZbTW2Y5jFNQ+6NF6kKNf4pNWOp3VPwHYMC3otOTX+L8FmYW5aZ5fzozlWDcY3kyCCu1ZnV7zLC0wRutdndSYMGmJipjjTH6VKYW/Q5MNBuSicPSe81yWt4q18rMHKcuj+9wbjGOiLU5h2ndpVqrTYFY5oKzbS+hgRYLb3lxKYroL/jZPKO1oM+i4ONEj1Jwwd6e/KWSdotaa4BqAKU/pdaEdqgN92Jmj57t3Ge1apTgepmKzAOyIkv0yRMptIiGHszIfsTjE6US3lqDiP68ixuk92AkRdgLYsptqR7ru+9Nvm3kFfBN0rNk2nXmNee40qlVK5OpUXaRDOWptETzWBQJruPtQwoPS7Yuy1CxpQ+EJMHQM2L6kpgorfcQtECAMGYtYl8lybRfOE5+LhTY5O2zTSjGkiVbETFZFKUCiDLAoOWiWhtm0EJ9y19n1wOzL59MBHf5RbN1vtv0d5JTEEqg5r0ifWZW4KPLegu+9wcjPpjJrqtAmFCCQQAae3ziHswxGiNdwOlJdOl5rEkrmbnYA9ap/rIiqIEnbx22bL0ydJ8H3NhoZYXRwOji+mYDsBHftFoFsYcKwAQjE6GKz811TWmngwIapncu52+IHRkQJbBy1wiek0k3HsMY/0dBYzc2LN5+N8nIsFIfDc+bw3GnDQ1ofesnRzb1bbfcgKvTdy/e3HUjPC0pRh2Szpb+j4KGHWmKcFCYikVA5yAAlN9586dAYxb+jC5Bm26ZmsBaJmI1rZqeAMTxsJfVstvyc9Weqc0Yenn0m6zAMbOXf6zBEspxvTxJK5jrEcLyHTgz33CpiYxfcXcAozAm6DfWtjGAqcpkKqQfAQc821moqRzUzByU5cA9RMzKACMFnn2kLg5hnhf2qQT7+Tm0t+WtKztO12ETN8gVB5AQKbiGMKtQqkRaPPLCAt892FNlo1ZeL25ZuSGHjDpeTQwTj8uN+YkUWsnbO46hQHQZeW5gYxac2utsmZsqdmlDz66to6vyOscz8vUrQCMnuvJtgNSfc6FNQmbaUaJcNsqN0dTwljfkRR8x48++uja1sU1EzZ3TaY2AJ8VLOcQkMxFl2Xu0wCsNJP6wvqRPSt0DuVRWh7yyy65ErwiUG5ZcEvEJiswql00o0EKEswfBLK9k3c2fvPis0tzNeq/FrA5gaUpPpTRtTS0ttNyqAX9nKkdaHd1KOsre45J0Gs1WsehOdcqoZjc5K975hjR6sNc1ZaQtRAjAYDN3KLLazDPU2/5DhVOe1dltpJsJfEcTbG8VZPwOVNQAiOFi/+zAmppfloCj6W+Wn7XSsJ/TLVLqgoT43TnZXcwcnMkwJWLTMTCQMFoCRlEcRIu7/gPnl3TU0PCPF2Esm7yVJNUTqhBVo5b0ys4M5p2TLzXCHACXSvUAqo1bdNF4nowgfKxDE9s7AtUemtGJh3zbLCiX2AJGVoxtx1AMCocLWqKgkcM92BYmhqYwX0YeGrH0iyuYXqPa5w4V1gYv5pwihcCuDZf28P0to5VK6lAMccoHqN/ham7mRZYDlpAyjTD+3KNFEJyozfaEw2ZoG1lgppDc5aapKx00dc6pQlPf08QpqBMWYoE7BoebX2N/q0+L8Gsq0V5KNQwjsvLy6sWJ3XOSeY3K7r1EQGeDurUKV86u5yE6r5qNJinoq412TIiNYdHPo/5aT208aGTqyBbY0l/c0f1ZTRde++egU7NPbWKpqPcpGWcoBX4B96I6NI27Bi6AAAAAElFTkSuQmCC">
          <a:extLst>
            <a:ext uri="{FF2B5EF4-FFF2-40B4-BE49-F238E27FC236}">
              <a16:creationId xmlns:a16="http://schemas.microsoft.com/office/drawing/2014/main" id="{54A3BD8A-2FD0-4903-B2D1-407B77692DA2}"/>
            </a:ext>
          </a:extLst>
        </xdr:cNvPr>
        <xdr:cNvSpPr>
          <a:spLocks noChangeAspect="1" noChangeArrowheads="1"/>
        </xdr:cNvSpPr>
      </xdr:nvSpPr>
      <xdr:spPr bwMode="auto">
        <a:xfrm>
          <a:off x="0" y="12068175"/>
          <a:ext cx="304800" cy="32085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304800" cy="15427325"/>
    <xdr:sp macro="" textlink="">
      <xdr:nvSpPr>
        <xdr:cNvPr id="7" name="AutoShape 2" descr="blob:https://web.whatsapp.com/d5111a39-74cd-48d3-b1d5-0c9985f456cf">
          <a:extLst>
            <a:ext uri="{FF2B5EF4-FFF2-40B4-BE49-F238E27FC236}">
              <a16:creationId xmlns:a16="http://schemas.microsoft.com/office/drawing/2014/main" id="{78C560A1-FFBA-4DD5-B58E-E131CBACCCE0}"/>
            </a:ext>
          </a:extLst>
        </xdr:cNvPr>
        <xdr:cNvSpPr>
          <a:spLocks noChangeAspect="1" noChangeArrowheads="1"/>
        </xdr:cNvSpPr>
      </xdr:nvSpPr>
      <xdr:spPr bwMode="auto">
        <a:xfrm>
          <a:off x="0" y="12068175"/>
          <a:ext cx="304800" cy="1542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74706</xdr:colOff>
      <xdr:row>21</xdr:row>
      <xdr:rowOff>74706</xdr:rowOff>
    </xdr:from>
    <xdr:to>
      <xdr:col>0</xdr:col>
      <xdr:colOff>2432228</xdr:colOff>
      <xdr:row>21</xdr:row>
      <xdr:rowOff>2129118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C6EF889-6B73-44D7-9591-C06AE7A87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706" y="7780431"/>
          <a:ext cx="2357522" cy="2054412"/>
        </a:xfrm>
        <a:prstGeom prst="rect">
          <a:avLst/>
        </a:prstGeom>
      </xdr:spPr>
    </xdr:pic>
    <xdr:clientData/>
  </xdr:twoCellAnchor>
  <xdr:twoCellAnchor editAs="oneCell">
    <xdr:from>
      <xdr:col>0</xdr:col>
      <xdr:colOff>186765</xdr:colOff>
      <xdr:row>22</xdr:row>
      <xdr:rowOff>93383</xdr:rowOff>
    </xdr:from>
    <xdr:to>
      <xdr:col>0</xdr:col>
      <xdr:colOff>2203823</xdr:colOff>
      <xdr:row>22</xdr:row>
      <xdr:rowOff>2110441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628A6E3-4DF5-405C-BE71-80761A889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65" y="9980333"/>
          <a:ext cx="2017058" cy="20170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MESTIKO\VENTAS\MAESTRO%20CLIENT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MESTIKO\INVENTARIO\MAESTR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a\OneDrive\Escritorio\julian\PRF-023%20NICOLAS%20MEDINA%20SALGADO.xlsx" TargetMode="External"/><Relationship Id="rId1" Type="http://schemas.openxmlformats.org/officeDocument/2006/relationships/externalLinkPath" Target="PRF-023%20NICOLAS%20MEDINA%20SALG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CLIENTES "/>
      <sheetName val="DATOS CONDUCTORES"/>
    </sheetNames>
    <sheetDataSet>
      <sheetData sheetId="0">
        <row r="2">
          <cell r="A2" t="str">
            <v>901060550-4</v>
          </cell>
          <cell r="B2" t="str">
            <v xml:space="preserve">JORGE VALENCIA </v>
          </cell>
          <cell r="C2" t="str">
            <v>ARMIDA SAS ZOMAC</v>
          </cell>
          <cell r="D2" t="str">
            <v>ARMIDA S.A.S ZOMAC</v>
          </cell>
          <cell r="E2" t="str">
            <v xml:space="preserve">CRA 21 9 22 B EL PUERTO </v>
          </cell>
          <cell r="F2" t="str">
            <v xml:space="preserve">PUERTO ASIS -PUTUMAYO </v>
          </cell>
          <cell r="G2" t="str">
            <v>3164688885/3143618223</v>
          </cell>
          <cell r="H2" t="str">
            <v>BLADIMIR DIAZ</v>
          </cell>
          <cell r="I2" t="str">
            <v>MISCELANEAELSUR@HOTMAIL.COM</v>
          </cell>
        </row>
        <row r="3">
          <cell r="A3" t="str">
            <v>1006016703-2</v>
          </cell>
          <cell r="B3" t="str">
            <v>JORGE SUAREZ</v>
          </cell>
          <cell r="C3" t="str">
            <v>JUAN DAVID SUAREZ CORDOBA</v>
          </cell>
          <cell r="D3" t="str">
            <v xml:space="preserve">ACABADOS CON ESTILO </v>
          </cell>
          <cell r="E3" t="str">
            <v xml:space="preserve">CLL 22 5 16 LOCAL 3 SAN NICOLAS </v>
          </cell>
          <cell r="F3" t="str">
            <v xml:space="preserve">CALI -VALLE </v>
          </cell>
          <cell r="G3">
            <v>3122012597</v>
          </cell>
          <cell r="H3" t="str">
            <v>CIELO VILLAMIZAR</v>
          </cell>
          <cell r="I3" t="str">
            <v>ASACABADOSCONESTILO@GMAIL.COM</v>
          </cell>
        </row>
        <row r="4">
          <cell r="A4" t="str">
            <v>94326260-0</v>
          </cell>
          <cell r="B4" t="str">
            <v>RUBE DARIO PEREZ CRESPO</v>
          </cell>
          <cell r="C4" t="str">
            <v>RUBEN DARIO PEREZ CRESPO</v>
          </cell>
          <cell r="D4" t="str">
            <v>ALMACEN DECORAR JR</v>
          </cell>
          <cell r="E4" t="str">
            <v>CRA 8 74 44 B. ALFONOZO LOPEZ</v>
          </cell>
          <cell r="F4" t="str">
            <v xml:space="preserve">CALI -VALLE </v>
          </cell>
          <cell r="G4">
            <v>3194257040</v>
          </cell>
          <cell r="H4" t="str">
            <v>BLADIMIR DIAZ</v>
          </cell>
          <cell r="I4" t="str">
            <v>ALMACENDECORARJR@GMAIL.COM</v>
          </cell>
        </row>
        <row r="5">
          <cell r="A5" t="str">
            <v>94255458-6</v>
          </cell>
          <cell r="B5" t="str">
            <v xml:space="preserve">ELIECER BERNAL </v>
          </cell>
          <cell r="C5" t="str">
            <v xml:space="preserve">ELIECER BERNAL </v>
          </cell>
          <cell r="D5" t="str">
            <v>ACABADOS DISTRILOPEZ</v>
          </cell>
          <cell r="E5" t="str">
            <v>CR 8 72 B 47 B. ALFONZO</v>
          </cell>
          <cell r="F5" t="str">
            <v xml:space="preserve">CALI -VALLE </v>
          </cell>
          <cell r="G5" t="str">
            <v>3165284660/662379</v>
          </cell>
          <cell r="H5" t="str">
            <v>BLADIMIR DIAZ</v>
          </cell>
          <cell r="I5" t="str">
            <v>ACABADOSDISTRILOPEZ@OUTLOOK.COM</v>
          </cell>
        </row>
        <row r="6">
          <cell r="A6" t="str">
            <v>1107081945-0</v>
          </cell>
          <cell r="B6" t="str">
            <v xml:space="preserve">FREDY AGUIRRE  GARCIA </v>
          </cell>
          <cell r="C6" t="str">
            <v xml:space="preserve">FREDDY AGUIRRE  GARCIA </v>
          </cell>
          <cell r="D6" t="str">
            <v xml:space="preserve">ACABADOS LUXURY </v>
          </cell>
          <cell r="E6" t="str">
            <v xml:space="preserve">CRA 7 U 72 90 LC 2 </v>
          </cell>
          <cell r="F6" t="str">
            <v xml:space="preserve">CALI -VALLE </v>
          </cell>
          <cell r="G6">
            <v>3104442110</v>
          </cell>
          <cell r="H6" t="str">
            <v>CIELO VILLAMIZAR</v>
          </cell>
          <cell r="I6" t="str">
            <v>ACABADOS_DIUXURY@HOTMAIL.COM</v>
          </cell>
        </row>
        <row r="7">
          <cell r="A7" t="str">
            <v>97471301-5</v>
          </cell>
          <cell r="B7" t="str">
            <v xml:space="preserve">MARLY HERNANDO PORTILLA GUEVARA </v>
          </cell>
          <cell r="C7" t="str">
            <v xml:space="preserve">MARLY HERNANDO PORTILLA GUEVARA </v>
          </cell>
          <cell r="D7" t="str">
            <v>AGRO DISTRIBUIDORA LA DORADA</v>
          </cell>
          <cell r="E7" t="str">
            <v xml:space="preserve">CRA 5 4 31 B SAN FELIPE -LA DORADA  </v>
          </cell>
          <cell r="F7" t="str">
            <v>SAN MIGUEL- PUTUMAYO</v>
          </cell>
          <cell r="G7">
            <v>3112310374</v>
          </cell>
          <cell r="H7" t="str">
            <v>BLADIMIR DIAZ</v>
          </cell>
          <cell r="I7" t="str">
            <v>DISTRIDORADA20@HOTMAIL.COM</v>
          </cell>
        </row>
        <row r="8">
          <cell r="A8" t="str">
            <v>1006387193-7</v>
          </cell>
          <cell r="B8" t="str">
            <v>ANDRES SALAZAR</v>
          </cell>
          <cell r="C8" t="str">
            <v>JOHAN ALEXANDER LARGACHA CUERO</v>
          </cell>
          <cell r="D8" t="str">
            <v>PORCEMAX Y PVC JYM</v>
          </cell>
          <cell r="E8" t="str">
            <v>CR 12 8 25 BRR LA ESTACION</v>
          </cell>
          <cell r="F8" t="str">
            <v>JAMUNDI-VALLE</v>
          </cell>
          <cell r="G8">
            <v>3027434443</v>
          </cell>
          <cell r="H8" t="str">
            <v>CIELO VILLAMIZAR</v>
          </cell>
          <cell r="I8" t="str">
            <v>JHOJANCUERO1994@GMAIL.COM</v>
          </cell>
        </row>
        <row r="9">
          <cell r="A9" t="str">
            <v>16888055-4</v>
          </cell>
          <cell r="B9" t="str">
            <v>ALEXANDER BEDOYA GUZMAN</v>
          </cell>
          <cell r="C9" t="str">
            <v>ALEXANDER BEDOYA GUZMAN</v>
          </cell>
          <cell r="D9" t="str">
            <v xml:space="preserve">ALEXANDER BEDOLLA GUZMAN </v>
          </cell>
          <cell r="E9" t="str">
            <v xml:space="preserve">CL 9 4 40 B. LOS ALMENDROS </v>
          </cell>
          <cell r="F9" t="str">
            <v>FLORIDA -VALLE</v>
          </cell>
          <cell r="G9" t="str">
            <v>3015409482-3113709819</v>
          </cell>
          <cell r="H9" t="str">
            <v>BLADIMIR DIAZ</v>
          </cell>
          <cell r="I9" t="str">
            <v>UNLIMITEDELECTRI2636180@GMAIL.COM</v>
          </cell>
        </row>
        <row r="10">
          <cell r="A10" t="str">
            <v>901994265-8</v>
          </cell>
          <cell r="B10" t="str">
            <v>EDWIN ALEXANDER TEJADA BETANCUR</v>
          </cell>
          <cell r="C10" t="str">
            <v>COMERCIALIZADORA DE CERAMICAS DEL VALLE SAS</v>
          </cell>
          <cell r="D10" t="str">
            <v>COMERCIALIZADORA DE CERAMICAS DEL VALLE SAS</v>
          </cell>
          <cell r="E10" t="str">
            <v>CL 8 NRO.10-40</v>
          </cell>
          <cell r="F10" t="str">
            <v>RESTREPO-VALLE</v>
          </cell>
          <cell r="G10" t="str">
            <v>3204888202-3204201120</v>
          </cell>
          <cell r="H10" t="str">
            <v>BLADIMIR DIAZ</v>
          </cell>
          <cell r="I10" t="str">
            <v>CRRAMICASDELVALLECOM@GMAIL.COM</v>
          </cell>
        </row>
        <row r="11">
          <cell r="A11" t="str">
            <v>901132018-7</v>
          </cell>
          <cell r="B11" t="str">
            <v xml:space="preserve">ESMERALDA ALBA </v>
          </cell>
          <cell r="C11" t="str">
            <v>ALCATRAZ BUILDER SAS</v>
          </cell>
          <cell r="D11" t="str">
            <v>ALCATRAZ BUILDER SAS</v>
          </cell>
          <cell r="E11" t="str">
            <v xml:space="preserve">CL 13 N 9 N 55 </v>
          </cell>
          <cell r="F11" t="str">
            <v xml:space="preserve">CALI -VALLE </v>
          </cell>
          <cell r="G11">
            <v>3113245983</v>
          </cell>
          <cell r="H11" t="str">
            <v>BLADIMIR DIAZ</v>
          </cell>
          <cell r="I11" t="str">
            <v>ALBAGROUPC1@GMAIL.COM</v>
          </cell>
        </row>
        <row r="12">
          <cell r="A12" t="str">
            <v>94394694-3</v>
          </cell>
          <cell r="B12" t="str">
            <v>SANDRA BERNAL</v>
          </cell>
          <cell r="C12" t="str">
            <v>RUBEN DARIO QUINTERO LARA</v>
          </cell>
          <cell r="D12" t="str">
            <v>-</v>
          </cell>
          <cell r="E12" t="str">
            <v>CL 4 40 N 157</v>
          </cell>
          <cell r="F12" t="str">
            <v>CALI- VALLE</v>
          </cell>
          <cell r="G12" t="str">
            <v>4180808-3155568191</v>
          </cell>
          <cell r="H12" t="str">
            <v>CIELO VILLAMIZAR</v>
          </cell>
          <cell r="I12" t="str">
            <v>RQUINTERO@RECAMIER.COM</v>
          </cell>
        </row>
        <row r="13">
          <cell r="A13" t="str">
            <v>1144098244-5</v>
          </cell>
          <cell r="B13" t="str">
            <v>NERLLY TATIANA</v>
          </cell>
          <cell r="C13" t="str">
            <v>NERLLY TATIANA COQUEZ RENDON</v>
          </cell>
          <cell r="D13" t="str">
            <v>-</v>
          </cell>
          <cell r="E13" t="str">
            <v>CL 19 # 36 B 22</v>
          </cell>
          <cell r="F13" t="str">
            <v>CALI-VALLE</v>
          </cell>
          <cell r="G13" t="str">
            <v>3862312-3188038227</v>
          </cell>
          <cell r="H13" t="str">
            <v>BLADIMIR DIAZ</v>
          </cell>
          <cell r="I13" t="str">
            <v>TATIANACOQUEZ@HOTMAIL.COM</v>
          </cell>
        </row>
        <row r="14">
          <cell r="A14" t="str">
            <v>901330574-1</v>
          </cell>
          <cell r="B14" t="str">
            <v xml:space="preserve">ELMER ALBERTO BENAVIDES </v>
          </cell>
          <cell r="C14" t="str">
            <v>INNOVA INGENIERIA Y GEOSOLUCIONES SAS</v>
          </cell>
          <cell r="D14" t="str">
            <v>INNOVA INGENIERIA Y GEOSOLUCIONES</v>
          </cell>
          <cell r="E14" t="str">
            <v>BRR INDUSTRIAL DIAG CANCHA DE FUTBOL</v>
          </cell>
          <cell r="F14" t="str">
            <v>VILLAGARZON-PUTUMAYO</v>
          </cell>
          <cell r="G14">
            <v>3143836722</v>
          </cell>
          <cell r="H14" t="str">
            <v>BLADIMIR DIAZ</v>
          </cell>
          <cell r="I14" t="str">
            <v>ING.INNOVACIVIL88@YAHOO.COM</v>
          </cell>
        </row>
        <row r="15">
          <cell r="A15">
            <v>2222222222</v>
          </cell>
          <cell r="B15" t="str">
            <v>-</v>
          </cell>
          <cell r="C15" t="str">
            <v>CONSUMIDOR FINAL</v>
          </cell>
          <cell r="D15" t="str">
            <v>-</v>
          </cell>
          <cell r="E15" t="str">
            <v>N/A</v>
          </cell>
          <cell r="F15" t="str">
            <v>N/A</v>
          </cell>
          <cell r="G15" t="str">
            <v>N/A</v>
          </cell>
          <cell r="H15" t="str">
            <v>BLADIMIR DIAZ</v>
          </cell>
          <cell r="I15" t="str">
            <v>NA@N/A.COM</v>
          </cell>
        </row>
        <row r="16">
          <cell r="A16" t="str">
            <v>16778722-7</v>
          </cell>
          <cell r="B16">
            <v>19205921</v>
          </cell>
          <cell r="C16" t="str">
            <v xml:space="preserve">LUIS JAIRO BENAVIDES DELGADO </v>
          </cell>
          <cell r="D16" t="str">
            <v>ALMACEN OPEN DE MARKET</v>
          </cell>
          <cell r="E16" t="str">
            <v>CL 15 12 49</v>
          </cell>
          <cell r="F16" t="str">
            <v xml:space="preserve">CALI -VALLE </v>
          </cell>
          <cell r="G16" t="str">
            <v>3194437326-6028802247</v>
          </cell>
          <cell r="H16" t="str">
            <v>CIELO VILLAMIZAR</v>
          </cell>
          <cell r="I16" t="str">
            <v>ALMACENOPENMARKET@GMAIL.COM</v>
          </cell>
        </row>
        <row r="17">
          <cell r="A17" t="str">
            <v>901399153-1</v>
          </cell>
          <cell r="B17" t="str">
            <v xml:space="preserve">JUAN PABLO </v>
          </cell>
          <cell r="C17" t="str">
            <v xml:space="preserve">ACABADOS DEL VALLE JPM SAS </v>
          </cell>
          <cell r="D17" t="str">
            <v>PISOS Y ACABADOS DEL VALLE</v>
          </cell>
          <cell r="E17" t="str">
            <v>CL 15 CRA 23 A 46</v>
          </cell>
          <cell r="F17" t="str">
            <v xml:space="preserve">CALI -VALLE </v>
          </cell>
          <cell r="G17" t="str">
            <v>3185219126-5575200</v>
          </cell>
          <cell r="H17" t="str">
            <v>CIELO VILLAMIZAR</v>
          </cell>
          <cell r="I17" t="str">
            <v>PISOSYACABADOSDELVALLE@HOTMAIL.COM</v>
          </cell>
        </row>
        <row r="18">
          <cell r="A18" t="str">
            <v>1088331187-1</v>
          </cell>
          <cell r="B18" t="str">
            <v>DANIEL</v>
          </cell>
          <cell r="C18" t="str">
            <v>DANIEL ORLANDO TRUJILLO GALLO</v>
          </cell>
          <cell r="D18" t="str">
            <v>DANIEL ORLANDO TRUJILLO GALLO</v>
          </cell>
          <cell r="E18" t="str">
            <v>CR 7 32 17 BRR PRIMERO DE MAYO</v>
          </cell>
          <cell r="F18" t="str">
            <v>PEREIRA-RISARALDA</v>
          </cell>
          <cell r="G18">
            <v>3218710370</v>
          </cell>
          <cell r="H18" t="str">
            <v>BLADIMIR DIAZ</v>
          </cell>
          <cell r="I18" t="str">
            <v>DISTRIBUIDORCERAMICO2024@GMAIL.COM</v>
          </cell>
        </row>
        <row r="19">
          <cell r="A19" t="str">
            <v>901652830-2</v>
          </cell>
          <cell r="B19" t="str">
            <v xml:space="preserve">EDIER NAVARRO </v>
          </cell>
          <cell r="C19" t="str">
            <v>BODEGA GLOBOCERAMICAS SAS</v>
          </cell>
          <cell r="D19" t="str">
            <v>BODEGA GLOBOCERAMICAS SAS</v>
          </cell>
          <cell r="E19" t="str">
            <v xml:space="preserve">CRA 8 72 32 </v>
          </cell>
          <cell r="F19" t="str">
            <v xml:space="preserve">CALI -VALLE </v>
          </cell>
          <cell r="G19" t="str">
            <v>3008347760-60266220422</v>
          </cell>
          <cell r="H19" t="str">
            <v>BLADIMIR DIAZ</v>
          </cell>
          <cell r="I19" t="str">
            <v>BODEGA01GLOBOCERAMICASAS@GMAIL.COM</v>
          </cell>
        </row>
        <row r="20">
          <cell r="A20" t="str">
            <v>900627019-6</v>
          </cell>
          <cell r="B20" t="str">
            <v>GUILLERMO COBO PEREZ</v>
          </cell>
          <cell r="C20" t="str">
            <v>CASCOS Y ACCESORIOS GAMA MTOS SAS</v>
          </cell>
          <cell r="D20" t="str">
            <v>CASCOS Y ACCESORIOS GAMA MTOS SAS</v>
          </cell>
          <cell r="E20" t="str">
            <v>CR 19 39 46 LC 1  B SAN PEDRO</v>
          </cell>
          <cell r="F20" t="str">
            <v xml:space="preserve">PALMIRA -VALLE </v>
          </cell>
          <cell r="G20">
            <v>3163376077</v>
          </cell>
          <cell r="H20" t="str">
            <v>BLADIMIR DIAZ</v>
          </cell>
          <cell r="I20" t="str">
            <v>GAMAMOTOSCASCOSYACCESORIOS@HOTMAIL.COM</v>
          </cell>
        </row>
        <row r="21">
          <cell r="A21" t="str">
            <v>1115082475-4</v>
          </cell>
          <cell r="B21" t="str">
            <v>WILLIAM VILLAFAÑE</v>
          </cell>
          <cell r="C21" t="str">
            <v>ANGELICA ALEJANDRA AGUILAR SAAVEDRA</v>
          </cell>
          <cell r="D21" t="str">
            <v>ANGELICA ALEJANDRA AGUILAR SAAVEDRA</v>
          </cell>
          <cell r="E21" t="str">
            <v>CR 15 2 SUR 13 BRR LOS ANGELES</v>
          </cell>
          <cell r="F21" t="str">
            <v>GUADALAJARA DE BUGA-VALLE</v>
          </cell>
          <cell r="G21" t="str">
            <v>3178371788-3007051136</v>
          </cell>
          <cell r="H21" t="str">
            <v>BLADIMIR DIAZ</v>
          </cell>
          <cell r="I21" t="str">
            <v>ANGELIKA.AGUILAR@HOTMAIL.COM</v>
          </cell>
        </row>
        <row r="22">
          <cell r="A22" t="str">
            <v>1112775420-3</v>
          </cell>
          <cell r="B22" t="str">
            <v>NIGER ALEXIS MONCADA HOYOS</v>
          </cell>
          <cell r="C22" t="str">
            <v>NIGER ALEXIS MONCADA HOYOS</v>
          </cell>
          <cell r="D22" t="str">
            <v>SPACIO CERAMICOS M.M</v>
          </cell>
          <cell r="E22" t="str">
            <v>CRA 7 N 30 75 BRR CENTRO</v>
          </cell>
          <cell r="F22" t="str">
            <v>PEREIRA-RISARALDA</v>
          </cell>
          <cell r="G22">
            <v>3117730177</v>
          </cell>
          <cell r="H22" t="str">
            <v>BLADIMIR DIAZ</v>
          </cell>
          <cell r="I22" t="str">
            <v>SPACIOCERAMICOMM@GMAIL.COM</v>
          </cell>
        </row>
        <row r="23">
          <cell r="A23" t="str">
            <v>31330941-4</v>
          </cell>
          <cell r="B23" t="str">
            <v>SILVANA ANDREA VARELA FRANCO</v>
          </cell>
          <cell r="C23" t="str">
            <v>SILVANA ANDREA VARELA FRANCO</v>
          </cell>
          <cell r="D23" t="str">
            <v>TERRANO DISTRIBUCIONES</v>
          </cell>
          <cell r="E23" t="str">
            <v>CL 12 SUR 10 109</v>
          </cell>
          <cell r="F23" t="str">
            <v>GUADALAJARA DE BUGA-VALLE</v>
          </cell>
          <cell r="G23" t="str">
            <v>3193907651-3054591111</v>
          </cell>
          <cell r="H23" t="str">
            <v>BLADIMIR DIAZ</v>
          </cell>
          <cell r="I23" t="str">
            <v>VENTAS1TERRANO@HOTMAIL.COM</v>
          </cell>
        </row>
        <row r="24">
          <cell r="A24" t="str">
            <v>900742870-1</v>
          </cell>
          <cell r="B24" t="str">
            <v xml:space="preserve">MARY LUZ </v>
          </cell>
          <cell r="C24" t="str">
            <v>CERAMICAS CALDAS AYR SAS</v>
          </cell>
          <cell r="D24" t="str">
            <v>CERAMICAS CALDAS AYR SAS</v>
          </cell>
          <cell r="E24" t="str">
            <v>CL 46 SUR 19A 37</v>
          </cell>
          <cell r="F24" t="str">
            <v xml:space="preserve">BOGOTA </v>
          </cell>
          <cell r="G24" t="str">
            <v>3122699918-6017124170</v>
          </cell>
          <cell r="H24" t="str">
            <v>BLADIMIR DIAZ</v>
          </cell>
          <cell r="I24" t="str">
            <v>CERAMICASCALDASAYR@OUTLOOK.COM</v>
          </cell>
        </row>
        <row r="25">
          <cell r="A25" t="str">
            <v>16711221-0</v>
          </cell>
          <cell r="B25" t="str">
            <v xml:space="preserve">HENRY GOMEZ/ OTONIEL </v>
          </cell>
          <cell r="C25" t="str">
            <v>CERAMICAS JEFF</v>
          </cell>
          <cell r="D25" t="str">
            <v>CERAMICAS JEFF</v>
          </cell>
          <cell r="E25" t="str">
            <v>CL 15 11 05</v>
          </cell>
          <cell r="F25" t="str">
            <v xml:space="preserve">CALI -VALLE </v>
          </cell>
          <cell r="G25" t="str">
            <v>3041158269-8940156-5574820</v>
          </cell>
          <cell r="H25" t="str">
            <v>BLADIMIR DIAZ</v>
          </cell>
          <cell r="I25" t="str">
            <v>HENGOMELMEJOR@GMAIL.COM</v>
          </cell>
        </row>
        <row r="26">
          <cell r="A26" t="str">
            <v>29506643-4</v>
          </cell>
          <cell r="B26" t="str">
            <v>ENMANUEL CERON</v>
          </cell>
          <cell r="C26" t="str">
            <v>LEIDY YOHANNA VELASCO MARTINEZ</v>
          </cell>
          <cell r="D26" t="str">
            <v>CONSTRUCERAMICAS FLORIDA</v>
          </cell>
          <cell r="E26" t="str">
            <v>CL 8 #14 22</v>
          </cell>
          <cell r="F26" t="str">
            <v>FLORIDA -VALLE</v>
          </cell>
          <cell r="G26">
            <v>3184361038</v>
          </cell>
          <cell r="H26" t="str">
            <v>BLADIMIR DIAZ</v>
          </cell>
          <cell r="I26" t="str">
            <v>CARITA1015@HOTMAIL.COM</v>
          </cell>
        </row>
        <row r="27">
          <cell r="A27" t="str">
            <v>67021110-6</v>
          </cell>
          <cell r="B27" t="str">
            <v xml:space="preserve">ROSE MELY ACEVEDO MONTILLA </v>
          </cell>
          <cell r="C27" t="str">
            <v xml:space="preserve">ROSE MELY ACEVEDO MONTILLA </v>
          </cell>
          <cell r="D27" t="str">
            <v>CERAMICAS Y ACABADOS 1A</v>
          </cell>
          <cell r="E27" t="str">
            <v>CRA 27 91 72 B. BONILLA ARAGON</v>
          </cell>
          <cell r="F27" t="str">
            <v xml:space="preserve">CALI -VALLE </v>
          </cell>
          <cell r="G27" t="str">
            <v>3163533517-4221294</v>
          </cell>
          <cell r="H27" t="str">
            <v>BLADIMIR DIAZ</v>
          </cell>
          <cell r="I27" t="str">
            <v>ROCHI.ACEMO@HOTMAIL.COM</v>
          </cell>
        </row>
        <row r="28">
          <cell r="A28" t="str">
            <v>1130666334-6</v>
          </cell>
          <cell r="B28" t="str">
            <v xml:space="preserve">LUIS EDUARDO BUENO GALINDO </v>
          </cell>
          <cell r="C28" t="str">
            <v xml:space="preserve">LUIS EDUARDO BUENO GALINDO </v>
          </cell>
          <cell r="D28" t="str">
            <v>COMERCIALIZADORA BUENO PAEZ</v>
          </cell>
          <cell r="E28" t="str">
            <v>CR 91 27 09 B. BONILLA ARAGON</v>
          </cell>
          <cell r="F28" t="str">
            <v xml:space="preserve">CALI -VALLE </v>
          </cell>
          <cell r="G28" t="str">
            <v>3112925123-3127056841</v>
          </cell>
          <cell r="H28" t="str">
            <v>BLADIMIR DIAZ</v>
          </cell>
          <cell r="I28" t="str">
            <v>LUISEPASCAL@HOTMAIL.COM</v>
          </cell>
        </row>
        <row r="29">
          <cell r="A29" t="str">
            <v>32543279-4</v>
          </cell>
          <cell r="B29" t="str">
            <v>JAMES</v>
          </cell>
          <cell r="C29" t="str">
            <v xml:space="preserve">OLIVIA DEL SOCORRO GONZALEZ MUÑOS </v>
          </cell>
          <cell r="D29" t="str">
            <v>CERAMICAS Y ENCHAPES</v>
          </cell>
          <cell r="E29" t="str">
            <v xml:space="preserve">CRA 8 70 82 </v>
          </cell>
          <cell r="F29" t="str">
            <v xml:space="preserve">CALI -VALLE </v>
          </cell>
          <cell r="G29">
            <v>0</v>
          </cell>
          <cell r="H29" t="str">
            <v>BLADIMIR DIAZ</v>
          </cell>
          <cell r="I29" t="str">
            <v>OGONZALEZMUNOZ@YAHOO.COM</v>
          </cell>
        </row>
        <row r="30">
          <cell r="A30" t="str">
            <v>41943129-7</v>
          </cell>
          <cell r="B30" t="str">
            <v xml:space="preserve">CLAUDIA CAROLINA GARNICA BARRERA </v>
          </cell>
          <cell r="C30" t="str">
            <v xml:space="preserve">CLAUDIA CAROLINA GARNICA BARRERA </v>
          </cell>
          <cell r="D30" t="str">
            <v>-</v>
          </cell>
          <cell r="E30" t="str">
            <v>CR22 16 26 AP 302</v>
          </cell>
          <cell r="F30" t="str">
            <v>ARMENIA -QUINDIO</v>
          </cell>
          <cell r="G30" t="str">
            <v>3008201771-67496193</v>
          </cell>
          <cell r="H30" t="str">
            <v>BLADIMIR DIAZ</v>
          </cell>
          <cell r="I30" t="str">
            <v>CARITOGARNICA2011@GMAIL.COM</v>
          </cell>
        </row>
        <row r="31">
          <cell r="A31" t="str">
            <v>1118282509-5</v>
          </cell>
          <cell r="B31" t="str">
            <v>LUISA</v>
          </cell>
          <cell r="C31" t="str">
            <v xml:space="preserve">ARCESIO DE JESUS GIRALDO DUQUE </v>
          </cell>
          <cell r="D31" t="str">
            <v>CHECHO BABYS</v>
          </cell>
          <cell r="E31" t="str">
            <v xml:space="preserve">CR 9  13  68  LC 135 B CALVARIO </v>
          </cell>
          <cell r="F31" t="str">
            <v xml:space="preserve">CALI -VALLE </v>
          </cell>
          <cell r="G31" t="str">
            <v>3184099854-8850283</v>
          </cell>
          <cell r="H31" t="str">
            <v>BLADIMIR DIAZ</v>
          </cell>
          <cell r="I31" t="str">
            <v>CHECHO514@HOTMAIL.COM</v>
          </cell>
        </row>
        <row r="32">
          <cell r="A32" t="str">
            <v>1144195670-5</v>
          </cell>
          <cell r="B32" t="str">
            <v>CARLOS ANDRES MUÑOZ FLORES</v>
          </cell>
          <cell r="C32" t="str">
            <v>YULLY MARCELA MARTINEZ PEÑALOZA</v>
          </cell>
          <cell r="D32" t="str">
            <v>DECOR PROYECTOS</v>
          </cell>
          <cell r="E32" t="str">
            <v>CL 10 40A 78 LC</v>
          </cell>
          <cell r="F32" t="str">
            <v>CALI-VALLE</v>
          </cell>
          <cell r="G32">
            <v>3226530852</v>
          </cell>
          <cell r="H32" t="str">
            <v>CIELO  VILLAMIZAR</v>
          </cell>
          <cell r="I32" t="str">
            <v>MARCELA.MARTINEZ.96@HOTMAIL.COM</v>
          </cell>
        </row>
        <row r="33">
          <cell r="A33" t="str">
            <v>18110978-5</v>
          </cell>
          <cell r="B33" t="str">
            <v xml:space="preserve">ELI BERNARDO CALDERON CAICEDO </v>
          </cell>
          <cell r="C33" t="str">
            <v>ELI BERNARDO CALDERON CAICEDO</v>
          </cell>
          <cell r="D33" t="str">
            <v xml:space="preserve">CERAMICAS Y FERRETERIA LA PROOCION </v>
          </cell>
          <cell r="E33" t="str">
            <v>CL 10 22 15</v>
          </cell>
          <cell r="F33" t="str">
            <v xml:space="preserve">PUERTO ASIS -PUTUMAYO </v>
          </cell>
          <cell r="G33">
            <v>3112221207</v>
          </cell>
          <cell r="H33" t="str">
            <v>BLADIMIR DIAZ</v>
          </cell>
          <cell r="I33" t="str">
            <v>CUYGANGAS@HOTMAIL.COM</v>
          </cell>
        </row>
        <row r="34">
          <cell r="A34" t="str">
            <v>900635873-3</v>
          </cell>
          <cell r="B34" t="str">
            <v xml:space="preserve">ELMER ALBERTO BENAVIDES </v>
          </cell>
          <cell r="C34" t="str">
            <v>ARQ.CO S.A.S</v>
          </cell>
          <cell r="D34" t="str">
            <v>ARQ.CO S.A.S</v>
          </cell>
          <cell r="E34" t="str">
            <v>VDA LA PALESTINA</v>
          </cell>
          <cell r="F34" t="str">
            <v>VILLAGARZON-PUTUMAYO</v>
          </cell>
          <cell r="G34">
            <v>3208212149</v>
          </cell>
          <cell r="H34" t="str">
            <v>BLADIMIR DIAZ</v>
          </cell>
          <cell r="I34" t="str">
            <v>ARQ.CO_SAS@HOTMAIL.COM</v>
          </cell>
        </row>
        <row r="35">
          <cell r="A35" t="str">
            <v>1127071533-1</v>
          </cell>
          <cell r="B35" t="str">
            <v xml:space="preserve">ELMER ALBERTO BENAVIDES </v>
          </cell>
          <cell r="C35" t="str">
            <v xml:space="preserve">ELMER ALBERTO BENAVIDES </v>
          </cell>
          <cell r="D35" t="str">
            <v>CERAMICAS BENAVIDES</v>
          </cell>
          <cell r="E35" t="str">
            <v xml:space="preserve">CL  7 8 15 B. EL PROGRESO </v>
          </cell>
          <cell r="F35" t="str">
            <v>VILLAGARZON-PUTUMAYO</v>
          </cell>
          <cell r="G35" t="str">
            <v>3143836722-3125433224</v>
          </cell>
          <cell r="H35" t="str">
            <v>BLADIMIR DIAZ</v>
          </cell>
          <cell r="I35" t="str">
            <v>REMLE1812@GMAIL.COM</v>
          </cell>
        </row>
        <row r="36">
          <cell r="A36" t="str">
            <v>1144182525-9</v>
          </cell>
          <cell r="B36" t="str">
            <v xml:space="preserve">NELSON </v>
          </cell>
          <cell r="C36" t="str">
            <v>INGRID KATHERINE BASANTE CORTES</v>
          </cell>
          <cell r="D36" t="str">
            <v xml:space="preserve">CONSTRU OUTLET </v>
          </cell>
          <cell r="E36" t="str">
            <v>CR 8 73 13 ESQ, BARRIO ALFONZO LOPEZ</v>
          </cell>
          <cell r="F36" t="str">
            <v xml:space="preserve">CALI -VALLE </v>
          </cell>
          <cell r="G36" t="str">
            <v>3153107094-6561647</v>
          </cell>
          <cell r="H36" t="str">
            <v>BLADIMIR DIAZ</v>
          </cell>
          <cell r="I36" t="str">
            <v>CONSTRUOUTLETCALI@GMAIL.COM</v>
          </cell>
        </row>
        <row r="37">
          <cell r="A37" t="str">
            <v>16463075-7</v>
          </cell>
          <cell r="B37" t="str">
            <v>CESAR ALEJANDRO CAMARGO GOMEZ</v>
          </cell>
          <cell r="C37" t="str">
            <v>CESAR ALEJANDRO CAMARGO GOMEZ</v>
          </cell>
          <cell r="D37" t="str">
            <v>-</v>
          </cell>
          <cell r="E37" t="str">
            <v>CR 8 13 100 LC E Z 44 EZ 47</v>
          </cell>
          <cell r="F37" t="str">
            <v xml:space="preserve">CALI -VALLE </v>
          </cell>
          <cell r="G37">
            <v>3185780782</v>
          </cell>
          <cell r="H37" t="str">
            <v>DOMESTIKO SAS FIBRA</v>
          </cell>
          <cell r="I37" t="str">
            <v>CESARPELUCHES@HOTMAIL.COM</v>
          </cell>
        </row>
        <row r="38">
          <cell r="A38" t="str">
            <v>1130628925-7</v>
          </cell>
          <cell r="B38" t="str">
            <v xml:space="preserve">LUISA - DIEGO-JULIAN </v>
          </cell>
          <cell r="C38" t="str">
            <v xml:space="preserve">LIS KEYDI HENAO </v>
          </cell>
          <cell r="D38" t="str">
            <v>CERAMICAS SUPER MATERIALES</v>
          </cell>
          <cell r="E38" t="str">
            <v>CR 8 72 B 60</v>
          </cell>
          <cell r="F38" t="str">
            <v xml:space="preserve">CALI -VALLE </v>
          </cell>
          <cell r="G38" t="str">
            <v>3137122086/3114198022</v>
          </cell>
          <cell r="H38" t="str">
            <v>BLADIMIR DIAZ</v>
          </cell>
          <cell r="I38" t="str">
            <v>LISSYHENAO@HOTMAIL.COM</v>
          </cell>
        </row>
        <row r="39">
          <cell r="A39" t="str">
            <v>94543215-9</v>
          </cell>
          <cell r="B39" t="str">
            <v xml:space="preserve">JUAN CARLOS SERNA/ JULIET SERNA </v>
          </cell>
          <cell r="C39" t="str">
            <v>JUAN CARLOS SERNA ALVAREZ</v>
          </cell>
          <cell r="D39" t="str">
            <v>CENTRAL DE ENCHAPES</v>
          </cell>
          <cell r="E39" t="str">
            <v>CR 8 72 84</v>
          </cell>
          <cell r="F39" t="str">
            <v xml:space="preserve">CALI -VALLE </v>
          </cell>
          <cell r="G39" t="str">
            <v>6565566-3165284543</v>
          </cell>
          <cell r="H39" t="str">
            <v>BLADIMIR DIAZ</v>
          </cell>
          <cell r="I39" t="str">
            <v>JUANCARLOSSERNA23@GMAIL.COM</v>
          </cell>
        </row>
        <row r="40">
          <cell r="A40" t="str">
            <v>29433295-1</v>
          </cell>
          <cell r="B40" t="str">
            <v xml:space="preserve">KAREN MILLAN/ DEISY / TATIANA </v>
          </cell>
          <cell r="C40" t="str">
            <v>SONIA ESCOBAR GOMEZ</v>
          </cell>
          <cell r="D40" t="str">
            <v>CERAMICAS Y PISOS LA 15</v>
          </cell>
          <cell r="E40" t="str">
            <v>CL 26 83 C 40</v>
          </cell>
          <cell r="F40" t="str">
            <v xml:space="preserve">CALI -VALLE </v>
          </cell>
          <cell r="G40">
            <v>0</v>
          </cell>
          <cell r="H40" t="str">
            <v>CIELO VILLAMIZAR</v>
          </cell>
          <cell r="I40" t="str">
            <v>KAREN-1125@HOTMAIL.COM</v>
          </cell>
        </row>
        <row r="41">
          <cell r="A41" t="str">
            <v>94433166-4</v>
          </cell>
          <cell r="B41" t="str">
            <v>RAFAEL/ MARIA FERNANDA</v>
          </cell>
          <cell r="C41" t="str">
            <v>ALEXANDER MONTEALEGRE OTERO</v>
          </cell>
          <cell r="D41" t="str">
            <v>CERAMICA CIELO AZUL</v>
          </cell>
          <cell r="E41" t="str">
            <v>CL15 23 99 LC 01</v>
          </cell>
          <cell r="F41" t="str">
            <v xml:space="preserve">CALI -VALLE </v>
          </cell>
          <cell r="G41">
            <v>3207955874</v>
          </cell>
          <cell r="H41" t="str">
            <v>BLADIMIR DIAZ</v>
          </cell>
          <cell r="I41" t="str">
            <v>MONTES1142@HOTMAIL.COM</v>
          </cell>
        </row>
        <row r="42">
          <cell r="A42" t="str">
            <v>14675752-8</v>
          </cell>
          <cell r="B42" t="str">
            <v xml:space="preserve">MARIA RAQUEL -LUIS </v>
          </cell>
          <cell r="C42" t="str">
            <v>MARIA RAQUEL PAZ SANCHEZ</v>
          </cell>
          <cell r="D42" t="str">
            <v>CERAMIX</v>
          </cell>
          <cell r="E42" t="str">
            <v xml:space="preserve">CRA 26  A 1 73 A 63 B. ALIRIO MORA BELTRAN </v>
          </cell>
          <cell r="F42" t="str">
            <v xml:space="preserve">CALI -VALLE </v>
          </cell>
          <cell r="G42" t="str">
            <v>3172505475-6024224353</v>
          </cell>
          <cell r="H42" t="str">
            <v>BLADIMIR DIAZ</v>
          </cell>
          <cell r="I42" t="str">
            <v>LUISPAZ832011@HOTMAIL.COM</v>
          </cell>
        </row>
        <row r="43">
          <cell r="A43" t="str">
            <v>1006050518-1</v>
          </cell>
          <cell r="B43" t="str">
            <v>RICARDO ESTEBAN RIVERA GALLO - DISTRICERAMICAS</v>
          </cell>
          <cell r="C43" t="str">
            <v xml:space="preserve">RICARDO ESTEBAN RIVERA GALLO </v>
          </cell>
          <cell r="D43" t="str">
            <v>DISTRICERAMICAS RYS</v>
          </cell>
          <cell r="E43" t="str">
            <v xml:space="preserve">CL 8 73 79 </v>
          </cell>
          <cell r="F43" t="str">
            <v xml:space="preserve">CALI -VALLE </v>
          </cell>
          <cell r="G43">
            <v>3206532935</v>
          </cell>
          <cell r="H43" t="str">
            <v>CIELO VILLAMIZAR</v>
          </cell>
          <cell r="I43" t="str">
            <v>A14180804@GMAIL.COM  / DISTRICERAMICASRYS@GMAIL.COM</v>
          </cell>
        </row>
        <row r="44">
          <cell r="A44" t="str">
            <v>901961823-6</v>
          </cell>
          <cell r="B44" t="str">
            <v>NICOLAS MEDINA SALGADO</v>
          </cell>
          <cell r="C44" t="str">
            <v>GRUPO MESA SAS</v>
          </cell>
          <cell r="D44" t="str">
            <v>GRUPO MESA SAS</v>
          </cell>
          <cell r="E44" t="str">
            <v>CR 9 70 09</v>
          </cell>
          <cell r="F44" t="str">
            <v>CALI-VALLE</v>
          </cell>
          <cell r="G44" t="str">
            <v>3153427274-3174572529</v>
          </cell>
          <cell r="H44" t="str">
            <v>CIELO VILLAMIZAR</v>
          </cell>
          <cell r="I44" t="str">
            <v>NMEDINAS.EMPRESARIAL@GMAILCOM</v>
          </cell>
        </row>
        <row r="45">
          <cell r="A45" t="str">
            <v>900930657-3</v>
          </cell>
          <cell r="B45" t="str">
            <v xml:space="preserve">OSCAR </v>
          </cell>
          <cell r="C45" t="str">
            <v xml:space="preserve">DISTRIBUCIONES OB SAS </v>
          </cell>
          <cell r="D45" t="str">
            <v xml:space="preserve">DISTRIBUCIONES OB SAS </v>
          </cell>
          <cell r="E45" t="str">
            <v xml:space="preserve">CR 8 70 96 </v>
          </cell>
          <cell r="F45" t="str">
            <v>CALI</v>
          </cell>
          <cell r="G45" t="str">
            <v>3184818702-4033397</v>
          </cell>
          <cell r="H45" t="str">
            <v>BLADIMIR DIAZ</v>
          </cell>
          <cell r="I45" t="str">
            <v>JULIOSANCHEZ.7@HOTMAIL.COM</v>
          </cell>
        </row>
        <row r="46">
          <cell r="A46">
            <v>33745886</v>
          </cell>
          <cell r="B46" t="str">
            <v xml:space="preserve">ILDA BIBIANA ARIAS BETANCUR </v>
          </cell>
          <cell r="C46" t="str">
            <v xml:space="preserve">ILDA BIBIANA ARIAS BETANCUR </v>
          </cell>
          <cell r="D46" t="str">
            <v>DECORANDO TUS ESPACIOS</v>
          </cell>
          <cell r="E46" t="str">
            <v xml:space="preserve">CL 8    # 8  66 </v>
          </cell>
          <cell r="F46" t="str">
            <v>ZARZAL -VALLE</v>
          </cell>
          <cell r="G46">
            <v>3106277941</v>
          </cell>
          <cell r="H46" t="str">
            <v>BLADIMIR DIAZ</v>
          </cell>
          <cell r="I46" t="str">
            <v>DECORANDO-TUS-ESPACIOS@HOTMAIL.COM</v>
          </cell>
        </row>
        <row r="47">
          <cell r="A47" t="str">
            <v>890327178-6</v>
          </cell>
          <cell r="B47" t="str">
            <v>JUAN PABLO (DUQUE V)</v>
          </cell>
          <cell r="C47" t="str">
            <v>DUQUE VILLALBA SAS</v>
          </cell>
          <cell r="D47" t="str">
            <v>DUQUE VILLALBA SAS</v>
          </cell>
          <cell r="E47" t="str">
            <v>CL 70 8 115</v>
          </cell>
          <cell r="F47" t="str">
            <v xml:space="preserve">CALI -VALLE </v>
          </cell>
          <cell r="G47" t="str">
            <v>6024871111-6026561111</v>
          </cell>
          <cell r="H47" t="str">
            <v>BLADIMIR DIAZ</v>
          </cell>
          <cell r="I47" t="str">
            <v>GERENCIA@DUQUEVILLALBA.COM</v>
          </cell>
        </row>
        <row r="48">
          <cell r="A48" t="str">
            <v>80052504-4</v>
          </cell>
          <cell r="B48" t="str">
            <v xml:space="preserve">JOSE DUVAN </v>
          </cell>
          <cell r="C48" t="str">
            <v>JOSE DUVAN MARTINEZ GONZALEZ</v>
          </cell>
          <cell r="D48" t="str">
            <v>CERAMICAS LA SEPTIMA</v>
          </cell>
          <cell r="E48" t="str">
            <v>CR 7 34 32</v>
          </cell>
          <cell r="F48" t="str">
            <v>RISARALDA-PEREIRA</v>
          </cell>
          <cell r="G48" t="str">
            <v>3260763-3122114684</v>
          </cell>
          <cell r="H48" t="str">
            <v>CIELO VILLAMIZAR</v>
          </cell>
          <cell r="I48" t="str">
            <v>CERAMICASLASEPTIMA2009@LIVE.COM</v>
          </cell>
        </row>
        <row r="49">
          <cell r="A49" t="str">
            <v>1116258517-6</v>
          </cell>
          <cell r="B49" t="str">
            <v xml:space="preserve">MARINO </v>
          </cell>
          <cell r="C49" t="str">
            <v xml:space="preserve"> BRYAN ARNULFO  PARRA RUIZ </v>
          </cell>
          <cell r="D49" t="str">
            <v xml:space="preserve">DISTRIBUDIONES NYG </v>
          </cell>
          <cell r="E49" t="str">
            <v xml:space="preserve">CL 25 20 18 B CENTRO </v>
          </cell>
          <cell r="F49" t="str">
            <v>TULUA  VALLE</v>
          </cell>
          <cell r="G49">
            <v>3157240129</v>
          </cell>
          <cell r="H49" t="str">
            <v>BLADIMIR DIAZ</v>
          </cell>
          <cell r="I49" t="str">
            <v>BRAHIANPARRA69@HOTMAIL.COM</v>
          </cell>
        </row>
        <row r="50">
          <cell r="A50" t="str">
            <v>901191955-5</v>
          </cell>
          <cell r="B50" t="str">
            <v>JAVIER GUILLEN</v>
          </cell>
          <cell r="C50" t="str">
            <v>GRUPO ECO HOGAR SAS</v>
          </cell>
          <cell r="D50" t="str">
            <v>-</v>
          </cell>
          <cell r="E50" t="str">
            <v>CL 5 14 41 BRR LA PIÑA</v>
          </cell>
          <cell r="F50" t="str">
            <v xml:space="preserve">BUENAVENTURA -VALLE </v>
          </cell>
          <cell r="G50" t="str">
            <v>3116009755-3234198939</v>
          </cell>
          <cell r="H50" t="str">
            <v>BLADIMIR DIAZ</v>
          </cell>
          <cell r="I50" t="str">
            <v>GRUPOECOHOGARSAS@GMAIL.COM</v>
          </cell>
        </row>
        <row r="51">
          <cell r="A51" t="str">
            <v>901588630-2</v>
          </cell>
          <cell r="B51" t="str">
            <v>JAVIER GUILLEN</v>
          </cell>
          <cell r="C51" t="str">
            <v>DRIWALL Y PVC DEL PACIFICO SAS</v>
          </cell>
          <cell r="D51" t="str">
            <v>-</v>
          </cell>
          <cell r="E51" t="str">
            <v>CL 1 MZ 3  1  05 BRR EL CAMBIO</v>
          </cell>
          <cell r="F51" t="str">
            <v>BUENAVENTURA-VALLE</v>
          </cell>
          <cell r="G51">
            <v>3132830581</v>
          </cell>
          <cell r="H51" t="str">
            <v>BLADIMIR DIAZ</v>
          </cell>
          <cell r="I51" t="str">
            <v>DRYWALLYPVCDELPACIFICO@GMAIL.COM</v>
          </cell>
        </row>
        <row r="52">
          <cell r="A52" t="str">
            <v>1058843269-3</v>
          </cell>
          <cell r="B52" t="str">
            <v xml:space="preserve">FABIAN DARIO ARIAS </v>
          </cell>
          <cell r="C52" t="str">
            <v>FABIAN DARIO ARIAS BETANCUR</v>
          </cell>
          <cell r="D52" t="str">
            <v xml:space="preserve">DEKOR ARTE ESPACIOS CON ESTILO </v>
          </cell>
          <cell r="E52" t="str">
            <v>CL 10 A 2 15</v>
          </cell>
          <cell r="F52" t="str">
            <v>ZARZAL -VALLE</v>
          </cell>
          <cell r="G52" t="str">
            <v>3045677213-2595528</v>
          </cell>
          <cell r="H52" t="str">
            <v>BLADIMIR DIAZ</v>
          </cell>
          <cell r="I52" t="str">
            <v>DEKOR.ARTE@HOTMAIL.COM</v>
          </cell>
        </row>
        <row r="53">
          <cell r="A53" t="str">
            <v>901705045-6</v>
          </cell>
          <cell r="B53" t="str">
            <v>HENRY ANTONIO RIVERA PAMPLONA</v>
          </cell>
          <cell r="C53" t="str">
            <v>CERAMICAS Y PVC RIGAL SAS</v>
          </cell>
          <cell r="D53" t="str">
            <v>CERAMICAS Y PVC RIGAL SAS</v>
          </cell>
          <cell r="E53" t="str">
            <v>CR 35 37A  27</v>
          </cell>
          <cell r="F53" t="str">
            <v xml:space="preserve">PALMIRA -VALLE </v>
          </cell>
          <cell r="G53" t="str">
            <v>6022872472-3137975606</v>
          </cell>
          <cell r="H53" t="str">
            <v>CIELO VILLAMIZAR</v>
          </cell>
          <cell r="I53" t="str">
            <v>FACTURAS.CYL.LA35@GMAIL.COM</v>
          </cell>
        </row>
        <row r="54">
          <cell r="A54" t="str">
            <v>901914994-7</v>
          </cell>
          <cell r="B54" t="str">
            <v>JHON  QUINTERO</v>
          </cell>
          <cell r="C54" t="str">
            <v>PVC Y DISTRIBUCIONES DEL VALLE SAS</v>
          </cell>
          <cell r="D54" t="str">
            <v>CERAMICAS CALI</v>
          </cell>
          <cell r="E54" t="str">
            <v>CR 38 N 13 93 VIA ACOPI YUMBO</v>
          </cell>
          <cell r="F54" t="str">
            <v>YUMBO-VALLE</v>
          </cell>
          <cell r="G54">
            <v>3103490461</v>
          </cell>
          <cell r="H54" t="str">
            <v>BLADIMIR DIAZ</v>
          </cell>
          <cell r="I54" t="str">
            <v>PVCDISTRIBUCIONDELVALLE@GMAIL.COM</v>
          </cell>
        </row>
        <row r="55">
          <cell r="A55" t="str">
            <v>1060866483-1</v>
          </cell>
          <cell r="B55" t="str">
            <v>DEISY YASMIN VIVAS IDROBO</v>
          </cell>
          <cell r="C55" t="str">
            <v>DEISY YASMIN VIVAS IDROBO</v>
          </cell>
          <cell r="D55" t="str">
            <v>-</v>
          </cell>
          <cell r="E55" t="str">
            <v>CRA 94 B 2 46 APTO 203 TORRE 2 RESERVA DE MELENDEZ 1</v>
          </cell>
          <cell r="F55" t="str">
            <v xml:space="preserve">CALI -VALLE </v>
          </cell>
          <cell r="G55" t="str">
            <v>3155822206-3059876</v>
          </cell>
          <cell r="H55" t="str">
            <v>BLADIMIR DIAZ</v>
          </cell>
          <cell r="I55" t="str">
            <v>DEISYYASMINVIVASIDROBO@GMAIL.COM</v>
          </cell>
        </row>
        <row r="56">
          <cell r="A56" t="str">
            <v>16506776-8</v>
          </cell>
          <cell r="B56" t="str">
            <v xml:space="preserve">JESUS LEOPOLDO DCROZ AGUIRRE </v>
          </cell>
          <cell r="C56" t="str">
            <v xml:space="preserve">JESUS LEOPOLDO DCROZ AGUIRRE </v>
          </cell>
          <cell r="D56" t="str">
            <v xml:space="preserve">D CROZ AGUIRRE JESUS LEOPOLDO </v>
          </cell>
          <cell r="E56" t="str">
            <v>CR 4 CL 6 21 C 70</v>
          </cell>
          <cell r="F56" t="str">
            <v xml:space="preserve">BUENAVENTURA -VALLE </v>
          </cell>
          <cell r="G56">
            <v>3148276657</v>
          </cell>
          <cell r="H56" t="str">
            <v>BLADIMIR DIAZ</v>
          </cell>
          <cell r="I56" t="str">
            <v>LEOPOLDODCROZ@GMAIL.COM</v>
          </cell>
        </row>
        <row r="57">
          <cell r="A57" t="str">
            <v>1130605546-1</v>
          </cell>
          <cell r="B57" t="str">
            <v>EDGAR ANDRES CARVAJAL / HEIBER</v>
          </cell>
          <cell r="C57" t="str">
            <v>EDGAR ANDRES CARVAJAL CARDONA</v>
          </cell>
          <cell r="D57" t="str">
            <v xml:space="preserve">JOVA </v>
          </cell>
          <cell r="E57" t="str">
            <v>CR 47 A 13 B 73</v>
          </cell>
          <cell r="F57" t="str">
            <v xml:space="preserve">CALI -VALLE </v>
          </cell>
          <cell r="G57" t="str">
            <v>3052376195-3354930</v>
          </cell>
          <cell r="H57" t="str">
            <v>BLADIMIR DIAZ</v>
          </cell>
          <cell r="I57" t="str">
            <v>ANDRESCALI007@HOTMAIL.COM</v>
          </cell>
        </row>
        <row r="58">
          <cell r="A58" t="str">
            <v>1143959705-0</v>
          </cell>
          <cell r="B58" t="str">
            <v xml:space="preserve">EDWIN STIVEN OBANDO SALAZAR </v>
          </cell>
          <cell r="C58" t="str">
            <v xml:space="preserve">EDWIN STIVEN OBANDO SALAZAR </v>
          </cell>
          <cell r="D58" t="str">
            <v>FERROGAS SAS</v>
          </cell>
          <cell r="E58" t="str">
            <v>CL 72 D 3 A N 42</v>
          </cell>
          <cell r="F58" t="str">
            <v xml:space="preserve">CALI -VALLE </v>
          </cell>
          <cell r="G58">
            <v>3166662693</v>
          </cell>
          <cell r="H58" t="str">
            <v>BLADIMIR DIAZ</v>
          </cell>
          <cell r="I58" t="str">
            <v>MAYKELLZALAZAR@GMAIL.COM</v>
          </cell>
        </row>
        <row r="59">
          <cell r="A59" t="str">
            <v>901608329-7</v>
          </cell>
          <cell r="B59" t="str">
            <v xml:space="preserve">HECTOR CORTES/ CARLOS </v>
          </cell>
          <cell r="C59" t="str">
            <v>FERREACABADOS HC SAS</v>
          </cell>
          <cell r="D59" t="str">
            <v>FERREACABADOS HC SAS</v>
          </cell>
          <cell r="E59" t="str">
            <v xml:space="preserve">CL 16 N 8 01 VILLAGORGONA </v>
          </cell>
          <cell r="F59" t="str">
            <v>CANDELARIA -VALLE</v>
          </cell>
          <cell r="G59">
            <v>3012742028</v>
          </cell>
          <cell r="H59" t="str">
            <v>BLADIMIR DIAZ</v>
          </cell>
          <cell r="I59" t="str">
            <v>HECTORRCORTES1970@GMAIL.COM</v>
          </cell>
        </row>
        <row r="60">
          <cell r="A60" t="str">
            <v>15499330-4</v>
          </cell>
          <cell r="B60" t="str">
            <v xml:space="preserve">FREDDY BONILLA RIASCO </v>
          </cell>
          <cell r="C60" t="str">
            <v xml:space="preserve">FREDI BONILLA RIASCO </v>
          </cell>
          <cell r="D60" t="str">
            <v>-</v>
          </cell>
          <cell r="E60" t="str">
            <v>VDA RIO NAYA</v>
          </cell>
          <cell r="F60" t="str">
            <v xml:space="preserve">BUENAVENTURA -VALLE </v>
          </cell>
          <cell r="G60">
            <v>3188127898</v>
          </cell>
          <cell r="H60" t="str">
            <v>BLADIMIR DIAZ</v>
          </cell>
          <cell r="I60" t="str">
            <v>FREDYBONILLA_BONILLA@GMAIL.COM</v>
          </cell>
        </row>
        <row r="61">
          <cell r="A61" t="str">
            <v>1148954931-4</v>
          </cell>
          <cell r="B61" t="str">
            <v>EDWIN ALEXANDER TEJADA BETANCUR</v>
          </cell>
          <cell r="C61" t="str">
            <v>EDWIN ALEXANDER TEJADA BETANCUR</v>
          </cell>
          <cell r="D61" t="str">
            <v>FERRECERAMICAS TURA</v>
          </cell>
          <cell r="E61" t="str">
            <v>CL 6 59 59</v>
          </cell>
          <cell r="F61" t="str">
            <v xml:space="preserve">BUENAVENTURA -VALLE </v>
          </cell>
          <cell r="G61">
            <v>3204888202</v>
          </cell>
          <cell r="H61" t="str">
            <v>BLADIMIR DIAZ</v>
          </cell>
          <cell r="I61" t="str">
            <v>FERRECERAMICASTURA@GMAIL.COM</v>
          </cell>
        </row>
        <row r="62">
          <cell r="A62" t="str">
            <v>1143842617-7</v>
          </cell>
          <cell r="B62" t="str">
            <v>GILDARDO/DAYANA /YENIFER</v>
          </cell>
          <cell r="C62" t="str">
            <v>GILDARDO ANTONIO GIRALDO SANCHEZ</v>
          </cell>
          <cell r="D62" t="str">
            <v xml:space="preserve">FERROCERAMICAS EL MONO </v>
          </cell>
          <cell r="E62" t="str">
            <v>CR 7 L  73 92 B. ALFONZO LOPEZ</v>
          </cell>
          <cell r="F62" t="str">
            <v xml:space="preserve">CALI -VALLE </v>
          </cell>
          <cell r="G62" t="str">
            <v>3154555309-5137905</v>
          </cell>
          <cell r="H62" t="str">
            <v>CIELO VILLAMIZAR</v>
          </cell>
          <cell r="I62" t="str">
            <v>FERROCERAMICASELMONO@GMAIL.COM</v>
          </cell>
        </row>
        <row r="63">
          <cell r="A63" t="str">
            <v>94283826-2</v>
          </cell>
          <cell r="B63" t="str">
            <v>LUIS ALIRIO SAMBONI MUNOZ</v>
          </cell>
          <cell r="C63" t="str">
            <v>LUIS ALIRIO SAMBONI MUNOZ</v>
          </cell>
          <cell r="D63" t="str">
            <v>FERROCERAMICAS MUÑOZ</v>
          </cell>
          <cell r="E63" t="str">
            <v xml:space="preserve">CL 15 10 53 B. SUCRE </v>
          </cell>
          <cell r="F63" t="str">
            <v xml:space="preserve">CALI -VALLE </v>
          </cell>
          <cell r="G63" t="str">
            <v>3117029973-8894157</v>
          </cell>
          <cell r="H63" t="str">
            <v>CIELO VILLAMIZAR</v>
          </cell>
          <cell r="I63" t="str">
            <v>LUISALIRIO1901@ICLOUD.COM</v>
          </cell>
        </row>
        <row r="64">
          <cell r="A64" t="str">
            <v>16460049-1</v>
          </cell>
          <cell r="B64" t="str">
            <v>JOHN JAIVER MONCAYO OME</v>
          </cell>
          <cell r="C64" t="str">
            <v>JOHN JAIVER MONCAYO OME</v>
          </cell>
          <cell r="D64" t="str">
            <v>FORRO DE UJOS LA 13</v>
          </cell>
          <cell r="E64" t="str">
            <v xml:space="preserve">CL  13 17 15 B. GUAYAQUIL </v>
          </cell>
          <cell r="F64" t="str">
            <v xml:space="preserve">CALI -VALLE </v>
          </cell>
          <cell r="G64" t="str">
            <v>3057494999-6024030106</v>
          </cell>
          <cell r="H64" t="str">
            <v>BLADIMIR DIAZ</v>
          </cell>
          <cell r="I64" t="str">
            <v>JHONSIVEM@GMAIL.COM</v>
          </cell>
        </row>
        <row r="65">
          <cell r="A65">
            <v>66928292</v>
          </cell>
          <cell r="B65" t="str">
            <v>DIANA MILENA RESTREPO SALAZAR</v>
          </cell>
          <cell r="C65" t="str">
            <v>DIANA MILENA RESTREPO SALAZAR</v>
          </cell>
          <cell r="D65" t="str">
            <v xml:space="preserve">FERROCERAMICAS RESTREPO </v>
          </cell>
          <cell r="E65" t="str">
            <v>CR 47 40 73</v>
          </cell>
          <cell r="F65" t="str">
            <v xml:space="preserve">CALI -VALLE </v>
          </cell>
          <cell r="G65" t="str">
            <v>3128844710-3065999</v>
          </cell>
          <cell r="H65" t="str">
            <v>BLADIMIR DIAZ</v>
          </cell>
          <cell r="I65" t="str">
            <v>DMILENAR123@GMAIL.COM</v>
          </cell>
        </row>
        <row r="66">
          <cell r="A66" t="str">
            <v>1130678360-1</v>
          </cell>
          <cell r="B66" t="str">
            <v>DIEGO ALEXANDER UNI TOCORA</v>
          </cell>
          <cell r="C66" t="str">
            <v>DIEGO ALEXANDER UNI TOCORA</v>
          </cell>
          <cell r="D66" t="str">
            <v>FERROCERAMICAS DYD</v>
          </cell>
          <cell r="E66" t="str">
            <v>CL 10 60 83 B. SANTA ANITA</v>
          </cell>
          <cell r="F66" t="str">
            <v xml:space="preserve">CALI -VALLE </v>
          </cell>
          <cell r="G66" t="str">
            <v>3138032485-5518418</v>
          </cell>
          <cell r="H66" t="str">
            <v>BLADIMIR DIAZ</v>
          </cell>
          <cell r="I66" t="str">
            <v>FERRECERAMICASTURA@GMAIL.COM</v>
          </cell>
        </row>
        <row r="67">
          <cell r="A67" t="str">
            <v>901504412-3</v>
          </cell>
          <cell r="B67" t="str">
            <v>ESMERALDA ALBA</v>
          </cell>
          <cell r="C67" t="str">
            <v>GAOD SAS</v>
          </cell>
          <cell r="D67" t="str">
            <v>-</v>
          </cell>
          <cell r="E67" t="str">
            <v>CL 8 42 66</v>
          </cell>
          <cell r="F67" t="str">
            <v xml:space="preserve">CALI -VALLE </v>
          </cell>
          <cell r="G67">
            <v>3127059703</v>
          </cell>
          <cell r="H67" t="str">
            <v>BLADIMIR DIAZ</v>
          </cell>
          <cell r="I67" t="str">
            <v>ANDREA.ALBA@ALBAGROUP.COM.CO</v>
          </cell>
        </row>
        <row r="68">
          <cell r="A68" t="str">
            <v>16881742-4</v>
          </cell>
          <cell r="B68" t="str">
            <v>ENMANUEL SANTANDER</v>
          </cell>
          <cell r="C68" t="str">
            <v>GILDARDO MUÑOZ LOPEZ</v>
          </cell>
          <cell r="D68" t="str">
            <v>-</v>
          </cell>
          <cell r="E68" t="str">
            <v>CR 14 12 49</v>
          </cell>
          <cell r="F68" t="str">
            <v xml:space="preserve">SANTANDER DE QUILICHAO-CAUCA </v>
          </cell>
          <cell r="G68">
            <v>3128326734</v>
          </cell>
          <cell r="H68" t="str">
            <v>BLADIMIR DIAZ</v>
          </cell>
          <cell r="I68" t="str">
            <v>asesoriacontable34@yahoo.com</v>
          </cell>
        </row>
        <row r="69">
          <cell r="A69" t="str">
            <v>38562092-7</v>
          </cell>
          <cell r="B69" t="str">
            <v>FRANCY GISELA LUCIO SALAZAR</v>
          </cell>
          <cell r="C69" t="str">
            <v>FRANCY GISELA LUCIO SALAZAR</v>
          </cell>
          <cell r="D69" t="str">
            <v>CONSTRUCENTRO LA 15</v>
          </cell>
          <cell r="E69" t="str">
            <v xml:space="preserve">CR15 11 111 LC </v>
          </cell>
          <cell r="F69" t="str">
            <v xml:space="preserve">CALI -VALLE </v>
          </cell>
          <cell r="G69">
            <v>3175850148</v>
          </cell>
          <cell r="H69" t="str">
            <v>CIELO VILLAMIZAR</v>
          </cell>
          <cell r="I69" t="str">
            <v>AURISALAZAR1@HOTMAIL.COM</v>
          </cell>
        </row>
        <row r="70">
          <cell r="A70" t="str">
            <v>901143411-6</v>
          </cell>
          <cell r="B70" t="str">
            <v xml:space="preserve">FLAVIO </v>
          </cell>
          <cell r="C70" t="str">
            <v>GRUPO EMPRESARIAL CERAMICAS SAN MIGUEL SAS</v>
          </cell>
          <cell r="D70" t="str">
            <v>CERAMICAS SAN MIGUEL CALI</v>
          </cell>
          <cell r="E70" t="str">
            <v>CR 8 72 44</v>
          </cell>
          <cell r="F70" t="str">
            <v xml:space="preserve">CALI -VALLE </v>
          </cell>
          <cell r="G70" t="str">
            <v>3164226704-6627397</v>
          </cell>
          <cell r="H70" t="str">
            <v>BLADIMIR DIAZ</v>
          </cell>
          <cell r="I70" t="str">
            <v>CERAMICAS.SANMIGUEL@HOTMAIL.COM</v>
          </cell>
        </row>
        <row r="71">
          <cell r="A71" t="str">
            <v>901188081-2</v>
          </cell>
          <cell r="B71" t="str">
            <v>ESTEFANI</v>
          </cell>
          <cell r="C71" t="str">
            <v>GRUPO CERAMICO DEL VALLE  SAS</v>
          </cell>
          <cell r="D71" t="str">
            <v xml:space="preserve">SEDE LA SULTANA </v>
          </cell>
          <cell r="E71" t="str">
            <v>CRA 70</v>
          </cell>
          <cell r="F71" t="str">
            <v xml:space="preserve">CALI -VALLE </v>
          </cell>
          <cell r="G71">
            <v>3148351285</v>
          </cell>
          <cell r="H71" t="str">
            <v>BLADIMIR DIAZ</v>
          </cell>
          <cell r="I71" t="str">
            <v>CERAMICASFERREGANE@GMAIL.COM</v>
          </cell>
        </row>
        <row r="72">
          <cell r="A72" t="str">
            <v>901188081-2</v>
          </cell>
          <cell r="B72" t="str">
            <v>BORIC</v>
          </cell>
          <cell r="C72" t="str">
            <v>GRUPO CERAMICO DEL VALLE  SAS</v>
          </cell>
          <cell r="D72" t="str">
            <v>TIENDA CERAMICA LA 70</v>
          </cell>
          <cell r="E72" t="str">
            <v>CRA 70</v>
          </cell>
          <cell r="F72" t="str">
            <v xml:space="preserve">CALI -VALLE </v>
          </cell>
          <cell r="G72">
            <v>3184018793</v>
          </cell>
          <cell r="H72" t="str">
            <v>BLADIMIR DIAZ</v>
          </cell>
          <cell r="I72">
            <v>0</v>
          </cell>
        </row>
        <row r="73">
          <cell r="A73" t="str">
            <v>901188081-2</v>
          </cell>
          <cell r="B73" t="str">
            <v xml:space="preserve">WILLIAN/ JEFFER </v>
          </cell>
          <cell r="C73" t="str">
            <v>GRUPO CERAMICO DEL VALLE  SAS</v>
          </cell>
          <cell r="D73" t="str">
            <v xml:space="preserve">FERREGANE </v>
          </cell>
          <cell r="E73" t="str">
            <v>CRA 8 72 70</v>
          </cell>
          <cell r="F73" t="str">
            <v xml:space="preserve">CALI -VALLE </v>
          </cell>
          <cell r="G73">
            <v>3112836936</v>
          </cell>
          <cell r="H73" t="str">
            <v>BLADIMIR DIAZ</v>
          </cell>
          <cell r="I73">
            <v>0</v>
          </cell>
        </row>
        <row r="74">
          <cell r="A74" t="str">
            <v>901559268-5</v>
          </cell>
          <cell r="B74" t="str">
            <v>YURGEN / ERES</v>
          </cell>
          <cell r="C74" t="str">
            <v>GRUPO EMPRESARIAL BERNAL HOYOS SAS</v>
          </cell>
          <cell r="D74" t="str">
            <v>GRUPO EMPRESARIAL BERNAL HOYOS SAS</v>
          </cell>
          <cell r="E74" t="str">
            <v xml:space="preserve">CL 12 12 50 B. SAN JUNA BOSCO </v>
          </cell>
          <cell r="F74" t="str">
            <v xml:space="preserve">CALI -VALLE </v>
          </cell>
          <cell r="G74" t="str">
            <v>3176587661/6028963276</v>
          </cell>
          <cell r="H74" t="str">
            <v>BLADIMIR DIAZ</v>
          </cell>
          <cell r="I74" t="str">
            <v>GRUPOBERNALHOYOSSAS@GMAIL.COM</v>
          </cell>
        </row>
        <row r="75">
          <cell r="A75" t="str">
            <v>901705293-6</v>
          </cell>
          <cell r="B75" t="str">
            <v>PRIMO</v>
          </cell>
          <cell r="C75" t="str">
            <v>DECORCERAMICAS LA OCTAVA SAS</v>
          </cell>
          <cell r="D75" t="str">
            <v>DECORCERAMICAS LA OCTAVA SAS</v>
          </cell>
          <cell r="E75" t="str">
            <v>CR 8 72 B 38</v>
          </cell>
          <cell r="F75" t="str">
            <v>CALI</v>
          </cell>
          <cell r="G75">
            <v>3163051639</v>
          </cell>
          <cell r="H75" t="str">
            <v>BLADIMIR DIAZ</v>
          </cell>
          <cell r="I75" t="str">
            <v>DECOR-CERAMICA8@HOTMAIL.COM</v>
          </cell>
        </row>
        <row r="76">
          <cell r="A76">
            <v>1123306594</v>
          </cell>
          <cell r="B76" t="str">
            <v>KARINA</v>
          </cell>
          <cell r="C76" t="str">
            <v>KARINA VARGAS RAMIREZ</v>
          </cell>
          <cell r="D76" t="str">
            <v>KARINA VARGAS RAMIREZ</v>
          </cell>
          <cell r="E76">
            <v>0</v>
          </cell>
          <cell r="F76" t="str">
            <v xml:space="preserve">PUERTO ASIS -PUTUMAYO </v>
          </cell>
          <cell r="G76">
            <v>3124953186</v>
          </cell>
          <cell r="H76" t="str">
            <v>BLADIMIR DIAZ</v>
          </cell>
          <cell r="I76" t="str">
            <v>KARINAVARGAS920911@GMAIL.COM</v>
          </cell>
        </row>
        <row r="77">
          <cell r="A77">
            <v>0</v>
          </cell>
          <cell r="B77" t="str">
            <v>SANTIAGO</v>
          </cell>
          <cell r="C77" t="str">
            <v>MATERIALES ART SAS</v>
          </cell>
          <cell r="D77" t="str">
            <v>MATERIALES ART SAS</v>
          </cell>
          <cell r="E77" t="str">
            <v>CR 5 22 02 BRR SAN NICOLAS</v>
          </cell>
          <cell r="F77" t="str">
            <v>CALI-VALLE</v>
          </cell>
          <cell r="G77" t="str">
            <v>6023724450-3187355279</v>
          </cell>
          <cell r="H77" t="str">
            <v>BLADIMIR DIAZ</v>
          </cell>
          <cell r="I77" t="str">
            <v>MATERIALESART@MATERIALESART.NET</v>
          </cell>
        </row>
        <row r="78">
          <cell r="A78" t="str">
            <v>846000811-6</v>
          </cell>
          <cell r="B78" t="str">
            <v>DAVID ENCISO-KARINA</v>
          </cell>
          <cell r="C78" t="str">
            <v>AREA INGENIERIA SAS</v>
          </cell>
          <cell r="D78" t="str">
            <v>AREA INGENIERIA SAS</v>
          </cell>
          <cell r="E78" t="str">
            <v>CR 5 A 10 27 BRR  SAN LUIS</v>
          </cell>
          <cell r="F78" t="str">
            <v>VILLAGARZON-PUTUMAYO</v>
          </cell>
          <cell r="G78" t="str">
            <v>3135440582-3112372977</v>
          </cell>
          <cell r="H78" t="str">
            <v>BLADIMIR DIAZ</v>
          </cell>
          <cell r="I78" t="str">
            <v>CONSTRUCCCIONESAREAINGENIERIA@GMAIL.COM</v>
          </cell>
        </row>
        <row r="79">
          <cell r="A79" t="str">
            <v>901823342-4</v>
          </cell>
          <cell r="B79" t="str">
            <v xml:space="preserve">DARIO </v>
          </cell>
          <cell r="C79" t="str">
            <v>DISTRIBUCIONES MORZA SAS</v>
          </cell>
          <cell r="D79" t="str">
            <v>DISTRIBUCIONES MORZA SAS</v>
          </cell>
          <cell r="E79" t="str">
            <v>CR 10 17 19</v>
          </cell>
          <cell r="F79" t="str">
            <v>CALI-VALLE</v>
          </cell>
          <cell r="G79" t="str">
            <v>3117309489-3183114835</v>
          </cell>
          <cell r="H79" t="str">
            <v>CIELO VILLAMIZAR</v>
          </cell>
          <cell r="I79" t="str">
            <v>DISTRIBUCIONESMORzA@HOTMAIL.COM</v>
          </cell>
        </row>
        <row r="80">
          <cell r="A80" t="str">
            <v>16773230-2</v>
          </cell>
          <cell r="B80" t="str">
            <v>ARLES GUTIERREZ TORRES</v>
          </cell>
          <cell r="C80" t="str">
            <v>ARLES GUTIERREZ TORRES</v>
          </cell>
          <cell r="D80" t="str">
            <v xml:space="preserve">GOOD S CENTER </v>
          </cell>
          <cell r="E80" t="str">
            <v xml:space="preserve">CR 8 72 B71 B. ALFONSO LOPEZ </v>
          </cell>
          <cell r="F80" t="str">
            <v xml:space="preserve">CALI -VALLE </v>
          </cell>
          <cell r="G80">
            <v>3186066668</v>
          </cell>
          <cell r="H80" t="str">
            <v>BLADIMIR DIAZ</v>
          </cell>
          <cell r="I80" t="str">
            <v>GOODSCENTER1@GMAIL.COM</v>
          </cell>
        </row>
        <row r="81">
          <cell r="A81" t="str">
            <v>1144158402-0</v>
          </cell>
          <cell r="B81" t="str">
            <v xml:space="preserve">MARISEL </v>
          </cell>
          <cell r="C81" t="str">
            <v xml:space="preserve">DANIELA PEÑA PIAMBA </v>
          </cell>
          <cell r="D81" t="str">
            <v xml:space="preserve">HOME DEKOR </v>
          </cell>
          <cell r="E81" t="str">
            <v xml:space="preserve">CR 5 21 31 </v>
          </cell>
          <cell r="F81" t="str">
            <v xml:space="preserve">CALI -VALLE </v>
          </cell>
          <cell r="G81" t="str">
            <v>3116161645-3057838573</v>
          </cell>
          <cell r="H81" t="str">
            <v>CIELO VILLAMIZAR</v>
          </cell>
          <cell r="I81" t="str">
            <v>DANIELITA.1606@HOTMAIL.COM</v>
          </cell>
        </row>
        <row r="82">
          <cell r="A82" t="str">
            <v>16919547-0</v>
          </cell>
          <cell r="B82" t="str">
            <v>HARLING POTES LOZANO</v>
          </cell>
          <cell r="C82" t="str">
            <v>HARLING POTES LOZANO</v>
          </cell>
          <cell r="D82" t="str">
            <v>TU HOGAR</v>
          </cell>
          <cell r="E82" t="str">
            <v>CRA 26 M6 121 45</v>
          </cell>
          <cell r="F82" t="str">
            <v xml:space="preserve">CALI -VALLE </v>
          </cell>
          <cell r="G82">
            <v>3116725402</v>
          </cell>
          <cell r="H82" t="str">
            <v>CIELO VILLAMIZAR</v>
          </cell>
          <cell r="I82" t="str">
            <v>HARLING24@GMAIL.COM</v>
          </cell>
        </row>
        <row r="83">
          <cell r="A83" t="str">
            <v>6429687-4</v>
          </cell>
          <cell r="B83" t="str">
            <v>VICTOR</v>
          </cell>
          <cell r="C83" t="str">
            <v>HENRY ALONSO ZAPATA</v>
          </cell>
          <cell r="D83" t="str">
            <v>ACABADOS MULTICERAMICA( LOS PILLOS)</v>
          </cell>
          <cell r="E83" t="str">
            <v>CR 9 73 88</v>
          </cell>
          <cell r="F83" t="str">
            <v xml:space="preserve">CALI -VALLE </v>
          </cell>
          <cell r="G83">
            <v>3162905727</v>
          </cell>
          <cell r="H83" t="str">
            <v>BLADIMIR DIAZ</v>
          </cell>
          <cell r="I83" t="str">
            <v>HENRY.ZAPATA23@HOTMAIL.COM</v>
          </cell>
        </row>
        <row r="84">
          <cell r="A84" t="str">
            <v>16618074-7</v>
          </cell>
          <cell r="B84" t="str">
            <v>JOHANA HURTADO</v>
          </cell>
          <cell r="C84" t="str">
            <v xml:space="preserve">HEBERT HURTADO MUÑOZ </v>
          </cell>
          <cell r="D84" t="str">
            <v>FERRETERIA FOREVER</v>
          </cell>
          <cell r="E84" t="str">
            <v>CRA 8 72B 41 B. ALFONZO LOPEZ</v>
          </cell>
          <cell r="F84" t="str">
            <v xml:space="preserve">CALI -VALLE </v>
          </cell>
          <cell r="G84">
            <v>3187130491</v>
          </cell>
          <cell r="H84" t="str">
            <v>BLADIMIR DIAZ</v>
          </cell>
          <cell r="I84" t="str">
            <v>FACTURACIONFERREFOREVER@HOTMAIL.COM</v>
          </cell>
        </row>
        <row r="85">
          <cell r="A85" t="str">
            <v>901145994-7</v>
          </cell>
          <cell r="B85" t="str">
            <v>DIEGO</v>
          </cell>
          <cell r="C85" t="str">
            <v>INNOVACERAMICAS PEREIRA SAS</v>
          </cell>
          <cell r="D85" t="str">
            <v>INNOVACERAMICAS PEREIRA SAS</v>
          </cell>
          <cell r="E85" t="str">
            <v xml:space="preserve">CR 7 32 20 LC 1 B. PRIMERO DE FEBRERO </v>
          </cell>
          <cell r="F85" t="str">
            <v>PEREIRA-RISARALDA</v>
          </cell>
          <cell r="G85" t="str">
            <v>3226142736-3128659501</v>
          </cell>
          <cell r="H85" t="str">
            <v>BLADIMIR DIAZ</v>
          </cell>
          <cell r="I85" t="str">
            <v>SALAINNOVACERAMICAS@GMAIL.COM</v>
          </cell>
        </row>
        <row r="86">
          <cell r="A86" t="str">
            <v>901165449-1</v>
          </cell>
          <cell r="B86" t="str">
            <v>NATHALIA</v>
          </cell>
          <cell r="C86" t="str">
            <v>INVERSIONES Y ACABADOS CARSAN SAS-ZOMAC</v>
          </cell>
          <cell r="D86" t="str">
            <v>INVERSIONES Y ACABADOS CARSAN SAS-ZOMAC</v>
          </cell>
          <cell r="E86" t="str">
            <v xml:space="preserve">CL DEL COMERCIO </v>
          </cell>
          <cell r="F86" t="str">
            <v>SAN ANDRES DE TUMACO-NARIÑO</v>
          </cell>
          <cell r="G86">
            <v>3166990234</v>
          </cell>
          <cell r="H86" t="str">
            <v>BLADIMIR DIAZ</v>
          </cell>
          <cell r="I86" t="str">
            <v>FACTURACIONCARSAN2018@GMAIL.COM</v>
          </cell>
        </row>
        <row r="87">
          <cell r="A87" t="str">
            <v>38670713-5</v>
          </cell>
          <cell r="B87" t="str">
            <v xml:space="preserve">IVONNE-JAIRO </v>
          </cell>
          <cell r="C87" t="str">
            <v>IVONNE PATRICIA PEÑA VALDERRAMA</v>
          </cell>
          <cell r="D87" t="str">
            <v>IVONNE PATRICIA PEÑA VALDERRAMA</v>
          </cell>
          <cell r="E87" t="str">
            <v xml:space="preserve">CR 11 6 40 B. LA ESMERALDA </v>
          </cell>
          <cell r="F87" t="str">
            <v>JAMUNDI-VALLE</v>
          </cell>
          <cell r="G87">
            <v>3159270686</v>
          </cell>
          <cell r="H87" t="str">
            <v>BLADIMIR DIAZ</v>
          </cell>
          <cell r="I87" t="str">
            <v>IVONP1226@HOTMAIL.COM</v>
          </cell>
        </row>
        <row r="88">
          <cell r="A88" t="str">
            <v>1151946154-5</v>
          </cell>
          <cell r="B88" t="str">
            <v>PAOLA ANDREA ORTIZ CHATE</v>
          </cell>
          <cell r="C88" t="str">
            <v>PAOLA ANDREA ORTIZ CHATE</v>
          </cell>
          <cell r="D88" t="str">
            <v>INTERECERAMICAS PAZ</v>
          </cell>
          <cell r="E88" t="str">
            <v>CL 15 11 83</v>
          </cell>
          <cell r="F88" t="str">
            <v xml:space="preserve">CALI -VALLE </v>
          </cell>
          <cell r="G88">
            <v>3108289098</v>
          </cell>
          <cell r="H88" t="str">
            <v>BLADIMIR DIAZ</v>
          </cell>
          <cell r="I88" t="str">
            <v>PAOLAORTIZ425@GMAIL.COM</v>
          </cell>
        </row>
        <row r="89">
          <cell r="A89" t="str">
            <v>14637995-9</v>
          </cell>
          <cell r="B89" t="str">
            <v>JULIO CESAR PAZ RODRIGUEZ</v>
          </cell>
          <cell r="C89" t="str">
            <v>JULIO CESAR PAZ RODRIGUEZ</v>
          </cell>
          <cell r="D89" t="str">
            <v xml:space="preserve">INTERCERAMICAS PAZ GUAYAQUIL </v>
          </cell>
          <cell r="E89" t="str">
            <v>CL 15 21 42</v>
          </cell>
          <cell r="F89" t="str">
            <v xml:space="preserve">CALI -VALLE </v>
          </cell>
          <cell r="G89">
            <v>3183038424</v>
          </cell>
          <cell r="H89" t="str">
            <v>CIELO VILLAMIZAR</v>
          </cell>
          <cell r="I89" t="str">
            <v>JUCEPAZ24@HOTMAIL.COM</v>
          </cell>
        </row>
        <row r="90">
          <cell r="A90" t="str">
            <v>901418941-1</v>
          </cell>
          <cell r="B90" t="str">
            <v>KAREN</v>
          </cell>
          <cell r="C90" t="str">
            <v>IMPORCERAMICASAND PROJECT GROUP SAS ZOMAC</v>
          </cell>
          <cell r="D90" t="str">
            <v>IMPORCERAMICASAND PROJECT GROUP SAS ZOMAC</v>
          </cell>
          <cell r="E90" t="str">
            <v>CR 12 5 78</v>
          </cell>
          <cell r="F90" t="str">
            <v xml:space="preserve">SANTANDER DE QUILICHAO-CAUCA </v>
          </cell>
          <cell r="G90">
            <v>3207444159</v>
          </cell>
          <cell r="H90" t="str">
            <v>BLADIMIR DIAZ</v>
          </cell>
          <cell r="I90" t="str">
            <v>IMPORCERAMICAS.CONTABILIDAD@GMAIL.COM</v>
          </cell>
        </row>
        <row r="91">
          <cell r="A91" t="str">
            <v>900315752-8</v>
          </cell>
          <cell r="B91">
            <v>0</v>
          </cell>
          <cell r="C91" t="str">
            <v>IINOVAR Y REMODELAR SAS</v>
          </cell>
          <cell r="D91" t="str">
            <v>INNOVAR Y REMODELAR SAS</v>
          </cell>
          <cell r="E91" t="str">
            <v xml:space="preserve">CL 77 4 B 45 B. JARDIN </v>
          </cell>
          <cell r="F91" t="str">
            <v>IBAGUE -TOLIMA</v>
          </cell>
          <cell r="G91">
            <v>3138179969</v>
          </cell>
          <cell r="H91" t="str">
            <v>BLADIMIR DIAZ</v>
          </cell>
          <cell r="I91" t="str">
            <v>CIELO.PRADA@HOTMAIL.COM</v>
          </cell>
        </row>
        <row r="92">
          <cell r="A92" t="str">
            <v>1007522187-5</v>
          </cell>
          <cell r="B92" t="str">
            <v xml:space="preserve">JOSE MANUEL VERA SALGADO </v>
          </cell>
          <cell r="C92" t="str">
            <v xml:space="preserve">JOSE MANUEL VERA SALGADO </v>
          </cell>
          <cell r="D92" t="str">
            <v xml:space="preserve">JOSE MANUEL VERA SALGADO </v>
          </cell>
          <cell r="E92" t="str">
            <v>CRR MONTEBELLO AV 47 OESTE 9 A 59</v>
          </cell>
          <cell r="F92" t="str">
            <v xml:space="preserve">CALI -VALLE </v>
          </cell>
          <cell r="G92">
            <v>3107918723</v>
          </cell>
          <cell r="H92" t="str">
            <v>BLADIMIR DIAZ</v>
          </cell>
          <cell r="I92" t="str">
            <v>VERASALGADO2002@GMAIL.COM</v>
          </cell>
        </row>
        <row r="93">
          <cell r="A93" t="str">
            <v>1089802654-3</v>
          </cell>
          <cell r="B93" t="str">
            <v>JOSE HERMIS ANGULO MICOLTA</v>
          </cell>
          <cell r="C93" t="str">
            <v>JOSE HERMIS ANGULO MICOLTA</v>
          </cell>
          <cell r="D93" t="str">
            <v xml:space="preserve">CONSTRU OUTLET LA MAYOR </v>
          </cell>
          <cell r="E93" t="str">
            <v xml:space="preserve">CRA 8 73 57 </v>
          </cell>
          <cell r="F93" t="str">
            <v xml:space="preserve">CALI -VALLE </v>
          </cell>
          <cell r="G93">
            <v>3177696933</v>
          </cell>
          <cell r="H93" t="str">
            <v>BLADIMIR DIAZ</v>
          </cell>
          <cell r="I93" t="str">
            <v>ACABADOSLAMAYOR@GMAIL.COM</v>
          </cell>
        </row>
        <row r="94">
          <cell r="A94" t="str">
            <v>1087194549-0</v>
          </cell>
          <cell r="B94" t="str">
            <v xml:space="preserve">JOSE KEVIN PONCE </v>
          </cell>
          <cell r="C94" t="str">
            <v xml:space="preserve">JOSE KEVIN PONCE </v>
          </cell>
          <cell r="D94" t="str">
            <v>FERRETODO LA 5</v>
          </cell>
          <cell r="E94" t="str">
            <v>K 5 C 07-60</v>
          </cell>
          <cell r="F94" t="str">
            <v>CALOTO-CAUCA</v>
          </cell>
          <cell r="G94">
            <v>3185959252</v>
          </cell>
          <cell r="H94" t="str">
            <v>BLADIMIR DIAZ</v>
          </cell>
          <cell r="I94" t="str">
            <v>KEPONCED10@GMAIL.COM</v>
          </cell>
        </row>
        <row r="95">
          <cell r="A95" t="str">
            <v>1143830129-2</v>
          </cell>
          <cell r="B95" t="str">
            <v>LORENA CARDONA  ALBA</v>
          </cell>
          <cell r="C95" t="str">
            <v>LORENA CARDONA  ALBA</v>
          </cell>
          <cell r="D95" t="str">
            <v>-</v>
          </cell>
          <cell r="E95" t="str">
            <v xml:space="preserve">CL 13 C70 87 B. QUINTAS DE DON SIMON </v>
          </cell>
          <cell r="F95" t="str">
            <v xml:space="preserve">CALI -VALLE </v>
          </cell>
          <cell r="G95">
            <v>3157719332</v>
          </cell>
          <cell r="H95" t="str">
            <v>BLADIMIR DIAZ</v>
          </cell>
          <cell r="I95" t="str">
            <v>LORY-GITO@HOTMAIL.COM</v>
          </cell>
        </row>
        <row r="96">
          <cell r="A96" t="str">
            <v>1089718052-0</v>
          </cell>
          <cell r="B96" t="str">
            <v>JULIAN FERNANDO RODRIGUEZ GRAJALES</v>
          </cell>
          <cell r="C96" t="str">
            <v>JULIAN FERNANDO RODRIGUEZ GRAJALES</v>
          </cell>
          <cell r="D96" t="str">
            <v>DECOR CERAMICAS PALMIRA</v>
          </cell>
          <cell r="E96" t="str">
            <v>CL 28 26 15</v>
          </cell>
          <cell r="F96" t="str">
            <v xml:space="preserve">PALMIRA -VALLE </v>
          </cell>
          <cell r="G96">
            <v>3226826355</v>
          </cell>
          <cell r="H96" t="str">
            <v>CIELO VILLAMIZAR</v>
          </cell>
          <cell r="I96" t="str">
            <v>DECORCERAMICAS1324@GMAIL.COM</v>
          </cell>
        </row>
        <row r="97">
          <cell r="A97" t="str">
            <v>16939315-4</v>
          </cell>
          <cell r="B97" t="str">
            <v xml:space="preserve">LUIS FERNANDO VARELA ZUÑIGA </v>
          </cell>
          <cell r="C97" t="str">
            <v>LUIS FERNANDO VARELA ZUÑIGA</v>
          </cell>
          <cell r="D97" t="str">
            <v>MEGACERAMICAS LA 15</v>
          </cell>
          <cell r="E97" t="str">
            <v>CL 15 11 99 B.SUCRE</v>
          </cell>
          <cell r="F97" t="str">
            <v xml:space="preserve">CALI -VALLE </v>
          </cell>
          <cell r="G97" t="str">
            <v>3156294006-3105083335</v>
          </cell>
          <cell r="H97" t="str">
            <v>BLADIMIR DIAZ</v>
          </cell>
          <cell r="I97" t="str">
            <v>NANDOVZ10@HOTMAIL.COM</v>
          </cell>
        </row>
        <row r="98">
          <cell r="A98" t="str">
            <v>94419987-6</v>
          </cell>
          <cell r="B98" t="str">
            <v>LUIS EDUARDO RAMOS SAA</v>
          </cell>
          <cell r="C98" t="str">
            <v>LUIS EDUARDO RAMOS SAA</v>
          </cell>
          <cell r="D98" t="str">
            <v>ENCHAPE Y PREFABRICADOS LA 23</v>
          </cell>
          <cell r="E98" t="str">
            <v>CL 15 23 67 B. ARANJUEZ</v>
          </cell>
          <cell r="F98" t="str">
            <v xml:space="preserve">CALI -VALLE </v>
          </cell>
          <cell r="G98" t="str">
            <v>3184614232-3136166340</v>
          </cell>
          <cell r="H98" t="str">
            <v>BLADIMIR DIAZ</v>
          </cell>
          <cell r="I98" t="str">
            <v>EDUARAMS76@OUTLOOK.COM</v>
          </cell>
        </row>
        <row r="99">
          <cell r="A99" t="str">
            <v>1143879503-6</v>
          </cell>
          <cell r="B99" t="str">
            <v>NICOLAS MEDINA</v>
          </cell>
          <cell r="C99" t="str">
            <v>NICOLAS MEDINA SALGADO</v>
          </cell>
          <cell r="D99" t="str">
            <v>-</v>
          </cell>
          <cell r="E99" t="str">
            <v>CR 9 70 09</v>
          </cell>
          <cell r="F99" t="str">
            <v>CALI</v>
          </cell>
          <cell r="G99" t="str">
            <v>3153427274-3187019530</v>
          </cell>
          <cell r="H99" t="str">
            <v>CIELO VILLAMIZAR</v>
          </cell>
          <cell r="I99" t="str">
            <v>NMEDINAS.EMPRESARIAL@GMAILCOM</v>
          </cell>
        </row>
        <row r="100">
          <cell r="A100" t="str">
            <v>66966368-0</v>
          </cell>
          <cell r="B100" t="str">
            <v xml:space="preserve">MARILUZ GIRALDO MEJIA </v>
          </cell>
          <cell r="C100" t="str">
            <v xml:space="preserve">MARILUZ GIRALDO MEJIA </v>
          </cell>
          <cell r="D100" t="str">
            <v>-</v>
          </cell>
          <cell r="E100" t="str">
            <v>CL 106 33-66</v>
          </cell>
          <cell r="F100" t="str">
            <v xml:space="preserve">CALI -VALLE </v>
          </cell>
          <cell r="G100">
            <v>3103818505</v>
          </cell>
          <cell r="H100" t="str">
            <v>BLADIMIR DIAZ</v>
          </cell>
          <cell r="I100" t="str">
            <v>HOMEDEKOR2023@GMAIL.COM</v>
          </cell>
        </row>
        <row r="101">
          <cell r="A101" t="str">
            <v>25285176-1</v>
          </cell>
          <cell r="B101" t="str">
            <v>MARIA ELIZABETH MUÑOZ FERNANDEZ</v>
          </cell>
          <cell r="C101" t="str">
            <v>MARIA ELIZABETH MUÑOZ FERNANDEZ</v>
          </cell>
          <cell r="D101" t="str">
            <v xml:space="preserve">BABY STORE JYM </v>
          </cell>
          <cell r="E101" t="str">
            <v xml:space="preserve">CON LA VICTORIA CASA 26 AD                          B. PANAMERICANO </v>
          </cell>
          <cell r="F101" t="str">
            <v xml:space="preserve">UNION -NARIÑO </v>
          </cell>
          <cell r="G101">
            <v>3113183505</v>
          </cell>
          <cell r="H101" t="str">
            <v>BLADIMIR DIAZ</v>
          </cell>
          <cell r="I101" t="str">
            <v xml:space="preserve">BABYSTOREJYM@GMAIL.COM </v>
          </cell>
        </row>
        <row r="102">
          <cell r="A102" t="str">
            <v>900932015-4</v>
          </cell>
          <cell r="B102" t="str">
            <v>MOVILIZAR DEL VALLE SAS</v>
          </cell>
          <cell r="C102" t="str">
            <v>MOVILIZAR DEL VALLE SAS</v>
          </cell>
          <cell r="D102" t="str">
            <v>MOVILIZAR DEL VALLE SAS</v>
          </cell>
          <cell r="E102" t="str">
            <v>CL 14 C 56 51 AP 502 C</v>
          </cell>
          <cell r="F102" t="str">
            <v xml:space="preserve">CALI -VALLE </v>
          </cell>
          <cell r="G102">
            <v>3126680928</v>
          </cell>
          <cell r="H102" t="str">
            <v>BLADIMIR DIAZ</v>
          </cell>
          <cell r="I102" t="str">
            <v>MOVILIZARMONTACARGAS@HOTMAIL.COM</v>
          </cell>
        </row>
        <row r="103">
          <cell r="A103" t="str">
            <v>24870750-5</v>
          </cell>
          <cell r="B103" t="str">
            <v xml:space="preserve">DIANA        </v>
          </cell>
          <cell r="C103" t="str">
            <v>DIANA PATRICIA GIRALDO GUTIERREZ</v>
          </cell>
          <cell r="D103" t="str">
            <v>DECORANDO EL EJE CAFETERO</v>
          </cell>
          <cell r="E103" t="str">
            <v>CRA 10 47 38</v>
          </cell>
          <cell r="F103" t="str">
            <v>DOSQUEBRADAS-RISARALDA</v>
          </cell>
          <cell r="G103">
            <v>3113592949</v>
          </cell>
          <cell r="H103" t="str">
            <v>BLADIMIR DIAZ</v>
          </cell>
          <cell r="I103" t="str">
            <v>DIANAGIRALDO910@GMAIL.COM</v>
          </cell>
        </row>
        <row r="104">
          <cell r="A104" t="str">
            <v>901861334-7</v>
          </cell>
          <cell r="B104" t="str">
            <v xml:space="preserve">LUIS </v>
          </cell>
          <cell r="C104" t="str">
            <v>MENTA MODA NOVEDADES SAS</v>
          </cell>
          <cell r="D104" t="str">
            <v>MENTA MODA NOVEDADES SAS</v>
          </cell>
          <cell r="E104" t="str">
            <v>CL 5 50 103 LC 02 01  CC COSMOCENTRO</v>
          </cell>
          <cell r="F104" t="str">
            <v>CALI-VALLE</v>
          </cell>
          <cell r="G104">
            <v>3103776397</v>
          </cell>
          <cell r="H104" t="str">
            <v>BLADIMIR DIAZ</v>
          </cell>
          <cell r="I104" t="str">
            <v>CORRESPONDENCIA31@HOTMAIL.COM</v>
          </cell>
        </row>
        <row r="105">
          <cell r="A105" t="str">
            <v>1112472067-5</v>
          </cell>
          <cell r="B105" t="str">
            <v>NELSON ENRIQUE MORENO MONCALEANO</v>
          </cell>
          <cell r="C105" t="str">
            <v>NELSON ENRIQUE MORENO MONCALEANO</v>
          </cell>
          <cell r="D105" t="str">
            <v>DISTRICONS KA-SA</v>
          </cell>
          <cell r="E105" t="str">
            <v>CL 81 7D BIS 34 BRR ALFONSO LOPEZ 1</v>
          </cell>
          <cell r="F105" t="str">
            <v>CALI</v>
          </cell>
          <cell r="G105">
            <v>3158119506</v>
          </cell>
          <cell r="H105" t="str">
            <v>BLADIMIR DIAZ</v>
          </cell>
          <cell r="I105" t="str">
            <v>NELSON.G12@HOTMAIL.COM</v>
          </cell>
        </row>
        <row r="106">
          <cell r="A106" t="str">
            <v>1130667777-1</v>
          </cell>
          <cell r="B106" t="str">
            <v xml:space="preserve">EDWIN FERNANDO RODRIGUEZ ARCILA </v>
          </cell>
          <cell r="C106" t="str">
            <v xml:space="preserve">EDWIN FERNANDO RODRIGUEZ ARCILA </v>
          </cell>
          <cell r="D106" t="str">
            <v xml:space="preserve">METRO CUADRADO CERAMICA Y CONSTRUCCION </v>
          </cell>
          <cell r="E106" t="str">
            <v xml:space="preserve"> CL 36 34 45</v>
          </cell>
          <cell r="F106" t="str">
            <v xml:space="preserve">CALI -VALLE </v>
          </cell>
          <cell r="G106">
            <v>3164969713</v>
          </cell>
          <cell r="H106" t="str">
            <v>BLADIMIR DIAZ</v>
          </cell>
          <cell r="I106" t="str">
            <v>EDFERCHO86@HOTMAIL.COM</v>
          </cell>
        </row>
        <row r="107">
          <cell r="A107" t="str">
            <v>901463484-6</v>
          </cell>
          <cell r="B107" t="str">
            <v>JUAN DIEGO NAVARRO</v>
          </cell>
          <cell r="C107" t="str">
            <v>MONARCA SUPERFICIES CERAMICAS SAS</v>
          </cell>
          <cell r="D107" t="str">
            <v>MONARCA SUPERFICIES CERAMICAS SAS</v>
          </cell>
          <cell r="E107" t="str">
            <v xml:space="preserve">CRA  72 B 21 </v>
          </cell>
          <cell r="F107" t="str">
            <v xml:space="preserve">CALI -VALLE </v>
          </cell>
          <cell r="G107">
            <v>3127878650</v>
          </cell>
          <cell r="H107" t="str">
            <v>BLADIMIR DIAZ</v>
          </cell>
          <cell r="I107" t="str">
            <v>NAVARROJUANDIEGO57@GMAIL.COM</v>
          </cell>
        </row>
        <row r="108">
          <cell r="A108" t="str">
            <v>901458348-2</v>
          </cell>
          <cell r="B108">
            <v>0</v>
          </cell>
          <cell r="C108" t="str">
            <v>MODERERAMICAS SAS</v>
          </cell>
          <cell r="D108" t="str">
            <v xml:space="preserve">MODECERAMICA SAS </v>
          </cell>
          <cell r="E108" t="str">
            <v xml:space="preserve">CR 5 22 123 </v>
          </cell>
          <cell r="F108" t="str">
            <v xml:space="preserve">CALI -VALLE </v>
          </cell>
          <cell r="G108">
            <v>3163970324</v>
          </cell>
          <cell r="H108" t="str">
            <v>BLADIMIR DIAZ</v>
          </cell>
          <cell r="I108" t="str">
            <v>ADMINISTRACION@MODERAMICA.COM</v>
          </cell>
        </row>
        <row r="109">
          <cell r="A109" t="str">
            <v>1143853914-7</v>
          </cell>
          <cell r="B109" t="str">
            <v xml:space="preserve">ANDREA ESTEFANIA LOPEZ VAQUERO </v>
          </cell>
          <cell r="C109" t="str">
            <v xml:space="preserve">ANDREA ESTEFANIA LOPEZ VAQUERO </v>
          </cell>
          <cell r="D109" t="str">
            <v>MUNDO BEBE CALI</v>
          </cell>
          <cell r="E109" t="str">
            <v>CRA 24 B 2 A 79</v>
          </cell>
          <cell r="F109" t="str">
            <v xml:space="preserve">CALI -VALLE </v>
          </cell>
          <cell r="G109" t="str">
            <v>3166720409-3205167160</v>
          </cell>
          <cell r="H109" t="str">
            <v>BLADIMIR DIAZ</v>
          </cell>
          <cell r="I109" t="str">
            <v>ASTHEFANIALB@GMAIL.COM</v>
          </cell>
        </row>
        <row r="110">
          <cell r="A110" t="str">
            <v>901654095-4</v>
          </cell>
          <cell r="B110" t="str">
            <v xml:space="preserve">DAVID ENCISO </v>
          </cell>
          <cell r="C110" t="str">
            <v>METRO 3-60 SAS</v>
          </cell>
          <cell r="D110" t="str">
            <v>METRO 3-60 SAS</v>
          </cell>
          <cell r="E110" t="str">
            <v>CL COLON  30 H 55 96 BRR ESCALLON VILLA</v>
          </cell>
          <cell r="F110" t="str">
            <v>CARTAGENA-BOLIVAR</v>
          </cell>
          <cell r="G110" t="str">
            <v>3107902183-3144293733</v>
          </cell>
          <cell r="H110" t="str">
            <v>BLADIMIR DIAZ</v>
          </cell>
          <cell r="I110" t="str">
            <v>GERENCIA@METROBIOSYSTEMS.COM</v>
          </cell>
        </row>
        <row r="111">
          <cell r="A111" t="str">
            <v>16932257-3</v>
          </cell>
          <cell r="B111" t="str">
            <v>VICTOR ELVER GARCIA LOPEZ</v>
          </cell>
          <cell r="C111" t="str">
            <v>VICTOR ELVER GARCIA LOPEZ</v>
          </cell>
          <cell r="D111" t="str">
            <v>MOMPOX DISEÑO E INNOVACION</v>
          </cell>
          <cell r="E111" t="str">
            <v>CRA4AN 72 B 49 B. GUADUALES</v>
          </cell>
          <cell r="F111" t="str">
            <v xml:space="preserve">CALI -VALLE </v>
          </cell>
          <cell r="G111">
            <v>3225136263</v>
          </cell>
          <cell r="H111" t="str">
            <v>BLADIMIR DIAZ</v>
          </cell>
          <cell r="I111" t="str">
            <v>16932257@RECEPCIONDE FACTURAS.CO</v>
          </cell>
        </row>
        <row r="112">
          <cell r="A112" t="str">
            <v>1136059664-1</v>
          </cell>
          <cell r="B112" t="str">
            <v xml:space="preserve">MAURICIO TORRES VIERA </v>
          </cell>
          <cell r="C112" t="str">
            <v xml:space="preserve">MAURICIO TORRES VIERA </v>
          </cell>
          <cell r="D112" t="str">
            <v>MULTICERAMICA LA 39</v>
          </cell>
          <cell r="E112" t="str">
            <v xml:space="preserve">CL 10 40 A 46 B. CAMBULOS </v>
          </cell>
          <cell r="F112" t="str">
            <v xml:space="preserve">CALI -VALLE </v>
          </cell>
          <cell r="G112">
            <v>3184171058</v>
          </cell>
          <cell r="H112" t="str">
            <v>BLADIMIR DIAZ</v>
          </cell>
          <cell r="I112" t="str">
            <v>MULTIERAMICALA39@GMAIL.COM</v>
          </cell>
        </row>
        <row r="113">
          <cell r="A113" t="str">
            <v>901331665-6</v>
          </cell>
          <cell r="B113" t="str">
            <v xml:space="preserve">JANSEN RINCON /YULI </v>
          </cell>
          <cell r="C113" t="str">
            <v xml:space="preserve">JANCEN RINCON </v>
          </cell>
          <cell r="D113" t="str">
            <v xml:space="preserve">MOSAICO SAS </v>
          </cell>
          <cell r="E113" t="str">
            <v>CL 6 118 20 CA 13 CON CAMPESTRE COLINAS DEL VIENTO B. PANCE</v>
          </cell>
          <cell r="F113" t="str">
            <v xml:space="preserve">CALI -VALLE </v>
          </cell>
          <cell r="G113" t="str">
            <v>3142681861-3206923847</v>
          </cell>
          <cell r="H113" t="str">
            <v>BLADIMIR DIAZ</v>
          </cell>
          <cell r="I113" t="str">
            <v>ARQUITECTO.CERAMICART@GMAIL.COM</v>
          </cell>
        </row>
        <row r="114">
          <cell r="A114" t="str">
            <v>805015128-1</v>
          </cell>
          <cell r="B114" t="str">
            <v xml:space="preserve">MARINO/ ROSARIO/OLGA </v>
          </cell>
          <cell r="C114" t="str">
            <v xml:space="preserve">MATERIALES CONSTRUCERAMICAS LTDA </v>
          </cell>
          <cell r="D114" t="str">
            <v xml:space="preserve">MATERIALES CONSTRUCERAMICAS LTDA </v>
          </cell>
          <cell r="E114" t="str">
            <v>CL 5 30 34</v>
          </cell>
          <cell r="F114" t="str">
            <v xml:space="preserve">CALI -VALLE </v>
          </cell>
          <cell r="G114">
            <v>3188135412</v>
          </cell>
          <cell r="H114" t="str">
            <v>CIELO VILLAMIZAR</v>
          </cell>
          <cell r="I114" t="str">
            <v>CONSTRUCERAMICAS1@OUTLOOK.COM</v>
          </cell>
        </row>
        <row r="115">
          <cell r="A115" t="str">
            <v>1130658224-0</v>
          </cell>
          <cell r="B115" t="str">
            <v>NELSON ANDRES AGREDO MARULANDA</v>
          </cell>
          <cell r="C115" t="str">
            <v>NELSON ANDRES AGREDO MARULANDA</v>
          </cell>
          <cell r="D115" t="str">
            <v>-</v>
          </cell>
          <cell r="E115" t="str">
            <v>CL 12 23 D 44</v>
          </cell>
          <cell r="F115" t="str">
            <v xml:space="preserve">CALI -VALLE </v>
          </cell>
          <cell r="G115">
            <v>3127501109</v>
          </cell>
          <cell r="H115" t="str">
            <v>BLADIMIR DIAZ</v>
          </cell>
          <cell r="I115" t="str">
            <v>AGREDOAG@HOTMAIL.COM</v>
          </cell>
        </row>
        <row r="116">
          <cell r="A116" t="str">
            <v>1130683688-1</v>
          </cell>
          <cell r="B116" t="str">
            <v xml:space="preserve">NELSON LEONARDO MUÑOZ ROJA </v>
          </cell>
          <cell r="C116" t="str">
            <v xml:space="preserve">NELSON LEONARDO MUÑOZ ROJA </v>
          </cell>
          <cell r="D116" t="str">
            <v>-</v>
          </cell>
          <cell r="E116" t="str">
            <v>CRA 39 C 41 61</v>
          </cell>
          <cell r="F116" t="str">
            <v xml:space="preserve">CALI -VALLE </v>
          </cell>
          <cell r="G116">
            <v>3127772665</v>
          </cell>
          <cell r="H116" t="str">
            <v>BLADIMIR DIAZ</v>
          </cell>
          <cell r="I116" t="str">
            <v>LEOMR-1989@HOTMAIL.COM</v>
          </cell>
        </row>
        <row r="117">
          <cell r="A117" t="str">
            <v>1130585617-7</v>
          </cell>
          <cell r="B117" t="str">
            <v>NATALIA ELIZABETH SANCHEZ ORTIZ</v>
          </cell>
          <cell r="C117" t="str">
            <v>INVERSIONES Y ACABADOS CARSAN SAS -ZOMAC</v>
          </cell>
          <cell r="D117" t="str">
            <v>-</v>
          </cell>
          <cell r="E117" t="str">
            <v>URB SAN FELIPE B. EXPORCOL CSA No67</v>
          </cell>
          <cell r="F117" t="str">
            <v>SAN ANDRES DE TUMACO-NARIÑO</v>
          </cell>
          <cell r="G117">
            <v>3186967576</v>
          </cell>
          <cell r="H117" t="str">
            <v>BLADIMIR DIAZ</v>
          </cell>
          <cell r="I117" t="str">
            <v>FACTURACIONCARSAN2018@GMAIL.COM</v>
          </cell>
        </row>
        <row r="118">
          <cell r="A118" t="str">
            <v>1143871709-1</v>
          </cell>
          <cell r="B118" t="str">
            <v xml:space="preserve"> ADRIANA  GONZALEZ</v>
          </cell>
          <cell r="C118" t="str">
            <v>CAROLINA CARDONA GONZALEZ</v>
          </cell>
          <cell r="D118" t="str">
            <v>MUNDIAL DE CERAMICAS LOCAL 1</v>
          </cell>
          <cell r="E118" t="str">
            <v xml:space="preserve">CLLE 15 </v>
          </cell>
          <cell r="F118" t="str">
            <v xml:space="preserve">CALI -VALLE </v>
          </cell>
          <cell r="G118">
            <v>3194061929</v>
          </cell>
          <cell r="H118" t="str">
            <v>CIELO VILLAMIZAR</v>
          </cell>
          <cell r="I118" t="str">
            <v>CAROCARDONAG97@HOTMAIL.COM</v>
          </cell>
        </row>
        <row r="119">
          <cell r="A119" t="str">
            <v>1143871709-1</v>
          </cell>
          <cell r="B119" t="str">
            <v xml:space="preserve">HAROLD CARDONA </v>
          </cell>
          <cell r="C119" t="str">
            <v>CAROLINA CARDONA GONZALEZ</v>
          </cell>
          <cell r="D119" t="str">
            <v>MUNDIAL DE LAVADEROS LOCAL 2</v>
          </cell>
          <cell r="E119" t="str">
            <v>CALLE 15 13-21</v>
          </cell>
          <cell r="F119" t="str">
            <v xml:space="preserve">CALI -VALLE </v>
          </cell>
          <cell r="G119">
            <v>3104224096</v>
          </cell>
          <cell r="H119" t="str">
            <v>CIELO VILLAMIZAR</v>
          </cell>
          <cell r="I119">
            <v>0</v>
          </cell>
        </row>
        <row r="120">
          <cell r="A120" t="str">
            <v>9859002-5</v>
          </cell>
          <cell r="B120" t="str">
            <v xml:space="preserve">NESTOR HUMBERTO GIRALDO HURTADO </v>
          </cell>
          <cell r="C120" t="str">
            <v>NESTOR HUMBERTO GIRLDO HURTADO</v>
          </cell>
          <cell r="D120" t="str">
            <v>SURTICERAMICAS ZARZAL</v>
          </cell>
          <cell r="E120" t="str">
            <v>CRA 10 8 47</v>
          </cell>
          <cell r="F120" t="str">
            <v>ZARZAL -VALLE</v>
          </cell>
          <cell r="G120">
            <v>3127287359</v>
          </cell>
          <cell r="H120" t="str">
            <v>BLADIMIR DIAZ</v>
          </cell>
          <cell r="I120" t="str">
            <v>SURTICERAMICASZARZAL@GMAIL.COM</v>
          </cell>
        </row>
        <row r="121">
          <cell r="A121" t="str">
            <v>72014814-1</v>
          </cell>
          <cell r="B121" t="str">
            <v>OSCAR ALIRIO GIRALDO SALAZAR</v>
          </cell>
          <cell r="C121" t="str">
            <v>OSCAR ALIRIO GIRALDO SALAZAR</v>
          </cell>
          <cell r="D121" t="str">
            <v>VARIEDADES YAJAIRA</v>
          </cell>
          <cell r="E121" t="str">
            <v xml:space="preserve">CRA 9 13 A 40 LC 210-211 CC EL FUTURO </v>
          </cell>
          <cell r="F121" t="str">
            <v xml:space="preserve">CALI -VALLE </v>
          </cell>
          <cell r="G121">
            <v>3156981138</v>
          </cell>
          <cell r="H121" t="str">
            <v>BLADIMIR DIAZ</v>
          </cell>
          <cell r="I121" t="str">
            <v>VARIEDADESYAJAIRA@GMAIL.COM</v>
          </cell>
        </row>
        <row r="122">
          <cell r="A122" t="str">
            <v>9915304-4</v>
          </cell>
          <cell r="B122" t="str">
            <v>OSCAR MAURICIO CORRALES BUITRAGO</v>
          </cell>
          <cell r="C122" t="str">
            <v>OSCAR MAURICIO CORRALES BUITRAGO</v>
          </cell>
          <cell r="D122" t="str">
            <v>-</v>
          </cell>
          <cell r="E122" t="str">
            <v>AV 32 OESTE 11 85</v>
          </cell>
          <cell r="F122" t="str">
            <v xml:space="preserve">CALI -VALLE </v>
          </cell>
          <cell r="G122">
            <v>3153879759</v>
          </cell>
          <cell r="H122" t="str">
            <v>BLADIMIR DIAZ</v>
          </cell>
          <cell r="I122" t="str">
            <v>YULICEB@HOTMAIL.COM</v>
          </cell>
        </row>
        <row r="123">
          <cell r="A123" t="str">
            <v>1144184054-0</v>
          </cell>
          <cell r="B123" t="str">
            <v>OSCAR EDUARDO PALECHOR ALVIZ</v>
          </cell>
          <cell r="C123" t="str">
            <v>OSCAR EDUARDO PALECHOR ALVIZ</v>
          </cell>
          <cell r="D123" t="str">
            <v xml:space="preserve">EL REY </v>
          </cell>
          <cell r="E123" t="str">
            <v xml:space="preserve">CL 22 5 06 B. SAN NICOLAS </v>
          </cell>
          <cell r="F123" t="str">
            <v xml:space="preserve">CALI -VALLE </v>
          </cell>
          <cell r="G123">
            <v>3166307684</v>
          </cell>
          <cell r="H123" t="str">
            <v>BLADIMIR DIAZ</v>
          </cell>
          <cell r="I123" t="str">
            <v>OSCAREDUARDOPALECHORALVIS@GMAIL.COM</v>
          </cell>
        </row>
        <row r="124">
          <cell r="A124" t="str">
            <v>31953979-7</v>
          </cell>
          <cell r="B124" t="str">
            <v>CONSUELO SALGADO MONTOYA</v>
          </cell>
          <cell r="C124" t="str">
            <v>CONSUELO SALGADO MONTOYA</v>
          </cell>
          <cell r="D124" t="str">
            <v>ONCERAMIC</v>
          </cell>
          <cell r="E124" t="str">
            <v>MONTEBELLO</v>
          </cell>
          <cell r="F124" t="str">
            <v xml:space="preserve">CALI -VALLE </v>
          </cell>
          <cell r="G124">
            <v>3127318054</v>
          </cell>
          <cell r="H124" t="str">
            <v>BLADIMIR DIAZ</v>
          </cell>
          <cell r="I124" t="str">
            <v>CONSALMO02@HOTMAIL.COM</v>
          </cell>
        </row>
        <row r="125">
          <cell r="A125" t="str">
            <v>800185322-2</v>
          </cell>
          <cell r="B125" t="str">
            <v xml:space="preserve">PROMOTORA JAQUE LTD.A PROMOTORES DE SEGUROS </v>
          </cell>
          <cell r="C125" t="str">
            <v>PROMOTORA JAQUE LTD.A-PROMOTORES DE SEGUROS</v>
          </cell>
          <cell r="D125" t="str">
            <v xml:space="preserve">JAQUE LTD.A PROMOTORES DE SEGUROS </v>
          </cell>
          <cell r="E125" t="str">
            <v>AV 7 24 NORTE 113</v>
          </cell>
          <cell r="F125" t="str">
            <v xml:space="preserve">CALI -VALLE </v>
          </cell>
          <cell r="G125">
            <v>6026680991</v>
          </cell>
          <cell r="H125" t="str">
            <v>BLADIMIR DIAZ</v>
          </cell>
          <cell r="I125" t="str">
            <v>JALVAREZ@JAQUESEGUROS.COM.CO</v>
          </cell>
        </row>
        <row r="126">
          <cell r="A126" t="str">
            <v>901768062-1</v>
          </cell>
          <cell r="B126" t="str">
            <v xml:space="preserve">WILLIAN/ JOSE/LUIS </v>
          </cell>
          <cell r="C126" t="str">
            <v>PISOS Y ENCHAPES CERAMICOS DE OCCIDENTE SAS</v>
          </cell>
          <cell r="D126" t="str">
            <v>PISOS Y ENCHAPES CERAMICOS DE OCCIDENTE</v>
          </cell>
          <cell r="E126" t="str">
            <v>CL 15 11 25</v>
          </cell>
          <cell r="F126" t="str">
            <v xml:space="preserve">CALI -VALLE </v>
          </cell>
          <cell r="G126">
            <v>3183785826</v>
          </cell>
          <cell r="H126" t="str">
            <v>CIELO VILLAMIZAR</v>
          </cell>
          <cell r="I126" t="str">
            <v>PISOSYENCHAPESCERAMICOS@GMAIL.COM</v>
          </cell>
        </row>
        <row r="127">
          <cell r="A127" t="str">
            <v>900232107-1</v>
          </cell>
          <cell r="B127" t="str">
            <v>PISOS Y GRES SAS</v>
          </cell>
          <cell r="C127" t="str">
            <v>PISOS Y GRES SAS</v>
          </cell>
          <cell r="D127" t="str">
            <v>PISOS Y GRES SAS</v>
          </cell>
          <cell r="E127" t="str">
            <v xml:space="preserve">AV LA GRAN COLOMBIA9 E 09 B. COLSAG </v>
          </cell>
          <cell r="F127" t="str">
            <v>CUCUTA-NORTE DE SANTANDER</v>
          </cell>
          <cell r="G127">
            <v>3208366041</v>
          </cell>
          <cell r="H127" t="str">
            <v>BLADIMIR DIAZ</v>
          </cell>
          <cell r="I127" t="str">
            <v>PISOSYGRES01@GMAIL.COM</v>
          </cell>
        </row>
        <row r="128">
          <cell r="A128" t="str">
            <v>900843118-2</v>
          </cell>
          <cell r="B128" t="str">
            <v>YURI</v>
          </cell>
          <cell r="C128" t="str">
            <v>PEGAMORI SAS</v>
          </cell>
          <cell r="D128" t="str">
            <v>PEGAMORI SAS</v>
          </cell>
          <cell r="E128" t="str">
            <v>CRA 5 23 25</v>
          </cell>
          <cell r="F128" t="str">
            <v xml:space="preserve">CALI -VALLE </v>
          </cell>
          <cell r="G128" t="str">
            <v>3957435-3138260403</v>
          </cell>
          <cell r="H128" t="str">
            <v>BLADIMIR DIAZ</v>
          </cell>
          <cell r="I128" t="str">
            <v>YUXIMORI27@HOTMAIL.COM</v>
          </cell>
        </row>
        <row r="129">
          <cell r="A129" t="str">
            <v>94257542-6</v>
          </cell>
          <cell r="B129" t="str">
            <v xml:space="preserve">RONALD GERMAN CAMACHO ROJAS </v>
          </cell>
          <cell r="C129" t="str">
            <v xml:space="preserve">RONALD GERMAN CAMACHO ROJAS </v>
          </cell>
          <cell r="D129" t="str">
            <v xml:space="preserve"> EL PALACIO DE LA CERAMICA</v>
          </cell>
          <cell r="E129" t="str">
            <v>CRA 8  72 B 04</v>
          </cell>
          <cell r="F129" t="str">
            <v xml:space="preserve">CALI -VALLE </v>
          </cell>
          <cell r="G129">
            <v>3168344778</v>
          </cell>
          <cell r="H129" t="str">
            <v>CIELO VILLAMIZAR</v>
          </cell>
          <cell r="I129" t="str">
            <v>RON5CO@HOTMAIL.COM</v>
          </cell>
        </row>
        <row r="130">
          <cell r="A130" t="str">
            <v>1144067390-1</v>
          </cell>
          <cell r="B130" t="str">
            <v>STEPHANNY TORRESCABRERA</v>
          </cell>
          <cell r="C130" t="str">
            <v>STEPHANNY TORRES CABRERA</v>
          </cell>
          <cell r="D130" t="str">
            <v>IKER KIDS(PAÑALERA )</v>
          </cell>
          <cell r="E130" t="str">
            <v>CL 2 94 C 20</v>
          </cell>
          <cell r="F130" t="str">
            <v xml:space="preserve">CALI -VALLE </v>
          </cell>
          <cell r="G130">
            <v>3007228056</v>
          </cell>
          <cell r="H130" t="str">
            <v>BLADIMIR DIAZ</v>
          </cell>
          <cell r="I130" t="str">
            <v>STEFIN-15@HOTMAIL.COM</v>
          </cell>
        </row>
        <row r="131">
          <cell r="A131" t="str">
            <v>901551456-7</v>
          </cell>
          <cell r="B131" t="str">
            <v>CAMILO FLOREZ</v>
          </cell>
          <cell r="C131" t="str">
            <v>CERAMICAS Y ACABADOS FLOREZ SAS</v>
          </cell>
          <cell r="D131" t="str">
            <v>CERAMICAS OLIVETO</v>
          </cell>
          <cell r="E131" t="str">
            <v>CR 8 76 40</v>
          </cell>
          <cell r="F131" t="str">
            <v>CALI-VALLE</v>
          </cell>
          <cell r="G131" t="str">
            <v>3104995666-3182298560</v>
          </cell>
          <cell r="H131" t="str">
            <v>CIELO VILLAMIZAR</v>
          </cell>
          <cell r="I131" t="str">
            <v>CERAMICASYACABADOSFLOREZ@GMAIL.COM</v>
          </cell>
        </row>
        <row r="132">
          <cell r="A132" t="str">
            <v>1144089681-2</v>
          </cell>
          <cell r="B132" t="str">
            <v>SAMANTHA LINARES MARIN</v>
          </cell>
          <cell r="C132" t="str">
            <v>SAMANTHA LINARES MARIN</v>
          </cell>
          <cell r="D132" t="str">
            <v>-</v>
          </cell>
          <cell r="E132" t="str">
            <v>CL 11 12 23 P1</v>
          </cell>
          <cell r="F132" t="str">
            <v>FLORIDA -VALLE</v>
          </cell>
          <cell r="G132">
            <v>3178878046</v>
          </cell>
          <cell r="H132" t="str">
            <v>BLADIMIR DIAZ</v>
          </cell>
          <cell r="I132" t="str">
            <v>SAMANTHALINARESMARIN@GMAIL.COM</v>
          </cell>
        </row>
        <row r="133">
          <cell r="A133" t="str">
            <v>79395042-1</v>
          </cell>
          <cell r="B133" t="str">
            <v>ARBEY VANEGAS BARRERA</v>
          </cell>
          <cell r="C133" t="str">
            <v>ARBEY VANEGAS BARRERA</v>
          </cell>
          <cell r="D133" t="str">
            <v>SURTICERAMICAS LA 15</v>
          </cell>
          <cell r="E133" t="str">
            <v>CL 15 12 09 12 43</v>
          </cell>
          <cell r="F133" t="str">
            <v xml:space="preserve">CALI -VALLE </v>
          </cell>
          <cell r="G133" t="str">
            <v>8831610-8899228</v>
          </cell>
          <cell r="H133" t="str">
            <v>BLADIMIR DIAZ</v>
          </cell>
          <cell r="I133" t="str">
            <v>SURTI.CERAMICAS.LA10@HOTMAIL.COM</v>
          </cell>
        </row>
        <row r="134">
          <cell r="A134" t="str">
            <v>1086920473-1</v>
          </cell>
          <cell r="B134" t="str">
            <v xml:space="preserve">ALEX </v>
          </cell>
          <cell r="C134" t="str">
            <v xml:space="preserve">MARIA MONICA ERAZOMORENO </v>
          </cell>
          <cell r="D134" t="str">
            <v xml:space="preserve">SURTICERAMICA DEL VALLE </v>
          </cell>
          <cell r="E134" t="str">
            <v>CR 8 71 15</v>
          </cell>
          <cell r="F134" t="str">
            <v xml:space="preserve">CALI -VALLE </v>
          </cell>
          <cell r="G134">
            <v>3117341714</v>
          </cell>
          <cell r="H134" t="str">
            <v>BLADIMIR DIAZ</v>
          </cell>
          <cell r="I134" t="str">
            <v>MNK9901@HOTMAIL.COM</v>
          </cell>
        </row>
        <row r="135">
          <cell r="A135" t="str">
            <v>79456717-7</v>
          </cell>
          <cell r="B135" t="str">
            <v>DIEGO LUIS PINILLA VILLAFAÑE</v>
          </cell>
          <cell r="C135" t="str">
            <v xml:space="preserve">SURTICERAMICAS LA OCTAVA </v>
          </cell>
          <cell r="D135" t="str">
            <v xml:space="preserve">SURTICERAMICAS LA OCTAVA </v>
          </cell>
          <cell r="E135" t="str">
            <v>CRA 8 72 62</v>
          </cell>
          <cell r="F135" t="str">
            <v xml:space="preserve">CALI -VALLE </v>
          </cell>
          <cell r="G135">
            <v>3232905895</v>
          </cell>
          <cell r="H135" t="str">
            <v>BLADIMIR DIAZ</v>
          </cell>
          <cell r="I135" t="str">
            <v>SURTICERAMICAS@SANPLAZA.COM.CO</v>
          </cell>
        </row>
        <row r="136">
          <cell r="A136" t="str">
            <v>901659211-5</v>
          </cell>
          <cell r="B136" t="str">
            <v>FREDDY  MONTOYA</v>
          </cell>
          <cell r="C136" t="str">
            <v>UNICERAMIK SAS</v>
          </cell>
          <cell r="D136" t="str">
            <v>UNICERAMIK SAS</v>
          </cell>
          <cell r="E136" t="str">
            <v>CRA 20 3 N 00 TO 4 APT 504</v>
          </cell>
          <cell r="F136" t="str">
            <v>ARMENIA -QUINDIO</v>
          </cell>
          <cell r="G136">
            <v>3043497105</v>
          </cell>
          <cell r="H136" t="str">
            <v>BLADIMIR DIAZ</v>
          </cell>
          <cell r="I136" t="str">
            <v>UNICERAMIK.SAS@GMAIL.COM</v>
          </cell>
        </row>
        <row r="137">
          <cell r="A137" t="str">
            <v>67032728-4</v>
          </cell>
          <cell r="B137" t="str">
            <v>KAREN MARYERI MANCHOLA URUEÑA</v>
          </cell>
          <cell r="C137" t="str">
            <v>KAREN MARYERI UREÑA</v>
          </cell>
          <cell r="D137" t="str">
            <v>UNIVERSAL DE CERAMICAS Y ACABADOS UNO</v>
          </cell>
          <cell r="E137" t="str">
            <v>CR 5 21 17</v>
          </cell>
          <cell r="F137" t="str">
            <v xml:space="preserve">CALI -VALLE </v>
          </cell>
          <cell r="G137">
            <v>3105081946</v>
          </cell>
          <cell r="H137" t="str">
            <v>BLADIMIR DIAZ</v>
          </cell>
          <cell r="I137" t="str">
            <v>UCERAMICAACABADOS1@GMAIL.COM</v>
          </cell>
        </row>
        <row r="138">
          <cell r="A138" t="str">
            <v>901159856-1</v>
          </cell>
          <cell r="B138" t="str">
            <v>JUAN PABLO (ROUTE 66)</v>
          </cell>
          <cell r="C138" t="str">
            <v>ROUTE 66 CARD SAS</v>
          </cell>
          <cell r="D138" t="str">
            <v>ROUTE 66 CARD SAS</v>
          </cell>
          <cell r="E138" t="str">
            <v xml:space="preserve">CR 66 13 11 </v>
          </cell>
          <cell r="F138" t="str">
            <v xml:space="preserve">CALI -VALLE </v>
          </cell>
          <cell r="G138" t="str">
            <v>3205630394-3154924616</v>
          </cell>
          <cell r="H138" t="str">
            <v>BLADIMIR DIAZ</v>
          </cell>
          <cell r="I138" t="str">
            <v>JP.BERMUDEZ10@GMAIL.COM</v>
          </cell>
        </row>
        <row r="139">
          <cell r="A139" t="str">
            <v>94523698-7</v>
          </cell>
          <cell r="B139" t="str">
            <v xml:space="preserve">JOSE OLIVER-GUAMANGA  </v>
          </cell>
          <cell r="C139" t="str">
            <v>JOSE OLIVER GUAMANGA QUINTERO</v>
          </cell>
          <cell r="D139" t="str">
            <v>FERRETERIA CERAMICA EL PROGRESO</v>
          </cell>
          <cell r="E139" t="str">
            <v>CL 15 # 10-67 BRR CENTRO</v>
          </cell>
          <cell r="F139" t="str">
            <v xml:space="preserve">CALI -VALLE </v>
          </cell>
          <cell r="G139">
            <v>3108353906</v>
          </cell>
          <cell r="H139" t="str">
            <v>BLADIMIR DIAZ</v>
          </cell>
          <cell r="I139" t="str">
            <v>DIVERGUAMANGA12@HOTMAIL.COM</v>
          </cell>
        </row>
        <row r="140">
          <cell r="A140" t="str">
            <v>4948472-7</v>
          </cell>
          <cell r="B140" t="str">
            <v xml:space="preserve">ALVARO MOTA </v>
          </cell>
          <cell r="C140" t="str">
            <v>ALVARO MOTTA ARTUNDUAGA</v>
          </cell>
          <cell r="D140" t="str">
            <v>PISOS Y ACABADOS DE COLOMBIA  ( HEIBER O NELLY)</v>
          </cell>
          <cell r="E140" t="str">
            <v>CL 15 # 11-49</v>
          </cell>
          <cell r="F140" t="str">
            <v xml:space="preserve">CALI -VALLE </v>
          </cell>
          <cell r="G140" t="str">
            <v>3122654386-8831247</v>
          </cell>
          <cell r="H140" t="str">
            <v>BLADIMIR DIAZ</v>
          </cell>
          <cell r="I140" t="str">
            <v>ALVAROMOTTA223@GMAIL.COM</v>
          </cell>
        </row>
        <row r="141">
          <cell r="A141" t="str">
            <v>55990044-1</v>
          </cell>
          <cell r="B141" t="str">
            <v>MARI LUZ MOTA</v>
          </cell>
          <cell r="C141" t="str">
            <v xml:space="preserve">ALMACEN CONSTRUCALI </v>
          </cell>
          <cell r="D141" t="str">
            <v>-</v>
          </cell>
          <cell r="E141" t="str">
            <v>CL 15 # 11-53</v>
          </cell>
          <cell r="F141">
            <v>0</v>
          </cell>
          <cell r="G141">
            <v>3188367460</v>
          </cell>
          <cell r="H141" t="str">
            <v>BLADIMIR DIAZ</v>
          </cell>
          <cell r="I141">
            <v>0</v>
          </cell>
        </row>
        <row r="142">
          <cell r="A142" t="str">
            <v>901410443-7</v>
          </cell>
          <cell r="B142" t="str">
            <v xml:space="preserve">GICOL/MARIA DEL CARMEN </v>
          </cell>
          <cell r="C142" t="str">
            <v>MARMOLES Y CERAMICAS LA ROCA SAS</v>
          </cell>
          <cell r="D142" t="str">
            <v>MARMOLES Y CERAMICAS LA ROCA SAS</v>
          </cell>
          <cell r="E142" t="str">
            <v>CL 15 # 11-55</v>
          </cell>
          <cell r="F142" t="str">
            <v xml:space="preserve">CALI -VALLE </v>
          </cell>
          <cell r="G142" t="str">
            <v>3114126937-8807239</v>
          </cell>
          <cell r="H142" t="str">
            <v>CIELO VILLAMIZAR</v>
          </cell>
          <cell r="I142" t="str">
            <v>CYMLAROCA@GMAIL.COM</v>
          </cell>
        </row>
        <row r="143">
          <cell r="A143" t="str">
            <v>94417216-7</v>
          </cell>
          <cell r="B143" t="str">
            <v xml:space="preserve">DIEGO FERNANDO CEDEÑO BEJARANO </v>
          </cell>
          <cell r="C143" t="str">
            <v>OUTLET DE LA CERAMICA LA 15</v>
          </cell>
          <cell r="D143" t="str">
            <v>-</v>
          </cell>
          <cell r="E143" t="str">
            <v>CL 15  18 A 05</v>
          </cell>
          <cell r="F143">
            <v>0</v>
          </cell>
          <cell r="G143">
            <v>3136005116</v>
          </cell>
          <cell r="H143" t="str">
            <v>BLADIMIR DIAZ</v>
          </cell>
          <cell r="I143">
            <v>0</v>
          </cell>
        </row>
        <row r="144">
          <cell r="A144" t="str">
            <v>1107082962-0</v>
          </cell>
          <cell r="B144" t="str">
            <v xml:space="preserve">BRANDON ENRIQUE PAZ </v>
          </cell>
          <cell r="C144" t="str">
            <v>BRANDON ENRIQUE PAZ RESTREPO</v>
          </cell>
          <cell r="D144" t="str">
            <v>FERROCERAMICAS PAZ</v>
          </cell>
          <cell r="E144" t="str">
            <v>CL 15 # 11-89</v>
          </cell>
          <cell r="F144" t="str">
            <v xml:space="preserve">CALI -VALLE </v>
          </cell>
          <cell r="G144" t="str">
            <v>3065999-3164044678</v>
          </cell>
          <cell r="H144" t="str">
            <v>CIELO VILLAMIZAR</v>
          </cell>
          <cell r="I144" t="str">
            <v>BRANDON.05PAZ@GMAIL.COM</v>
          </cell>
        </row>
        <row r="145">
          <cell r="A145">
            <v>0</v>
          </cell>
          <cell r="B145">
            <v>0</v>
          </cell>
          <cell r="C145" t="str">
            <v>FERROCERAMICAS RESTREPO  LOCAL 2</v>
          </cell>
          <cell r="D145" t="str">
            <v>FERROCERAMICAS PAZ</v>
          </cell>
          <cell r="E145" t="str">
            <v>CL 15 # 11-05</v>
          </cell>
          <cell r="F145" t="str">
            <v xml:space="preserve">CALI -VALLE </v>
          </cell>
          <cell r="G145" t="str">
            <v>315 5068574</v>
          </cell>
          <cell r="H145" t="str">
            <v>BLADIMIR DIAZ</v>
          </cell>
          <cell r="I145">
            <v>0</v>
          </cell>
        </row>
        <row r="146">
          <cell r="A146" t="str">
            <v>1143824002-1</v>
          </cell>
          <cell r="B146" t="str">
            <v xml:space="preserve">ANDRES FELIPE MILLAN </v>
          </cell>
          <cell r="C146" t="str">
            <v>MACROCERAMICAS</v>
          </cell>
          <cell r="D146" t="str">
            <v>-</v>
          </cell>
          <cell r="E146" t="str">
            <v>CL 15 #11-95</v>
          </cell>
          <cell r="F146" t="str">
            <v xml:space="preserve">CALI -VALLE </v>
          </cell>
          <cell r="G146" t="str">
            <v xml:space="preserve"> 318 5557000</v>
          </cell>
          <cell r="H146" t="str">
            <v>CIELO VILLAMIZAR</v>
          </cell>
          <cell r="I146" t="str">
            <v>ANDRESMILLANHR@GMAIL.COM</v>
          </cell>
        </row>
        <row r="147">
          <cell r="A147" t="str">
            <v>16765469-1</v>
          </cell>
          <cell r="B147" t="str">
            <v>WILSON/LUCERO</v>
          </cell>
          <cell r="C147" t="str">
            <v>WILSON DE JESUS VERA PEREZ</v>
          </cell>
          <cell r="D147" t="str">
            <v>CERAMIC CENTER</v>
          </cell>
          <cell r="E147" t="str">
            <v>CL 15 12 91</v>
          </cell>
          <cell r="F147" t="str">
            <v>CALI</v>
          </cell>
          <cell r="G147">
            <v>3107918723</v>
          </cell>
          <cell r="H147" t="str">
            <v>CIELO VILLAMIZAR</v>
          </cell>
          <cell r="I147" t="str">
            <v>CERAMICENTERFELECTRONICA@GMAIL.COM</v>
          </cell>
        </row>
        <row r="148">
          <cell r="A148" t="str">
            <v>34660117-8</v>
          </cell>
          <cell r="B148" t="str">
            <v xml:space="preserve">MIREYA VALENCIA </v>
          </cell>
          <cell r="C148" t="str">
            <v>MIREYA VALENCIA GUTIERREZ</v>
          </cell>
          <cell r="D148" t="str">
            <v xml:space="preserve">CENTRO CERAMICAS </v>
          </cell>
          <cell r="E148" t="str">
            <v>CL 15 # 12-85</v>
          </cell>
          <cell r="F148" t="str">
            <v>CALI</v>
          </cell>
          <cell r="G148">
            <v>3117182901</v>
          </cell>
          <cell r="H148" t="str">
            <v>CIELO ALDANA VILLAMIZAR</v>
          </cell>
          <cell r="I148" t="str">
            <v>MIREYAVALENCIAGUTIERREZ@GMAIL.COM</v>
          </cell>
        </row>
        <row r="149">
          <cell r="A149">
            <v>16829698</v>
          </cell>
          <cell r="B149" t="str">
            <v xml:space="preserve">OSWALDO MONTES </v>
          </cell>
          <cell r="C149" t="str">
            <v>OSWALDO MONTES BARONA</v>
          </cell>
          <cell r="D149" t="str">
            <v>OBRA BLANCA</v>
          </cell>
          <cell r="E149" t="str">
            <v>CL 15 #13-35</v>
          </cell>
          <cell r="F149" t="str">
            <v xml:space="preserve">CALI -VALLE </v>
          </cell>
          <cell r="G149">
            <v>3105368674</v>
          </cell>
          <cell r="H149" t="str">
            <v>CIELO VILLAMIZAR</v>
          </cell>
          <cell r="I149" t="str">
            <v>MONTESOSWALDO4@GMAIL.COM</v>
          </cell>
        </row>
        <row r="150">
          <cell r="A150" t="str">
            <v>1.061.698.328-9</v>
          </cell>
          <cell r="B150" t="str">
            <v xml:space="preserve">ANDRES FELIPE CAMAYO </v>
          </cell>
          <cell r="C150" t="str">
            <v xml:space="preserve">ANDRES FELIPE CAMAYO </v>
          </cell>
          <cell r="D150" t="str">
            <v>HIPERCERAMICA LA 15</v>
          </cell>
          <cell r="E150" t="str">
            <v>CL 15 12 87</v>
          </cell>
          <cell r="F150" t="str">
            <v xml:space="preserve">CALI -VALLE </v>
          </cell>
          <cell r="G150">
            <v>3146412483</v>
          </cell>
          <cell r="H150" t="str">
            <v>CIELO VILLAMIZAR</v>
          </cell>
          <cell r="I150" t="str">
            <v>T.ORNY@HOTMAIL.COM</v>
          </cell>
        </row>
        <row r="151">
          <cell r="A151">
            <v>1130596605</v>
          </cell>
          <cell r="B151" t="str">
            <v xml:space="preserve">JESICA  ALEXANDRA BUITRAGO </v>
          </cell>
          <cell r="C151" t="str">
            <v>CERAMIC PALLETS</v>
          </cell>
          <cell r="D151" t="str">
            <v>-</v>
          </cell>
          <cell r="E151" t="str">
            <v>CALLE 15 #22-23</v>
          </cell>
          <cell r="F151">
            <v>0</v>
          </cell>
          <cell r="G151">
            <v>3184483186</v>
          </cell>
          <cell r="H151" t="str">
            <v>BLADIMIR DIAZ</v>
          </cell>
          <cell r="I151">
            <v>0</v>
          </cell>
        </row>
        <row r="152">
          <cell r="A152" t="str">
            <v>11636835-3</v>
          </cell>
          <cell r="B152" t="str">
            <v xml:space="preserve">JHON JAIRO CAICEDO MURILLO </v>
          </cell>
          <cell r="C152" t="str">
            <v>JHON JAIRO CAICEDO MURILLO</v>
          </cell>
          <cell r="D152" t="str">
            <v>CERAMICAS Y ACABADOS MYM</v>
          </cell>
          <cell r="E152" t="str">
            <v xml:space="preserve">DG 23#29B 64 COLSEGUROS </v>
          </cell>
          <cell r="F152" t="str">
            <v xml:space="preserve">CALI -VALLE </v>
          </cell>
          <cell r="G152" t="str">
            <v>4225859-3164815226</v>
          </cell>
          <cell r="H152" t="str">
            <v>CIELO VILLAMIZAR</v>
          </cell>
          <cell r="I152" t="str">
            <v>JHONJCM1975@HOTMAIL.COM</v>
          </cell>
        </row>
        <row r="153">
          <cell r="A153" t="str">
            <v>700074851-8</v>
          </cell>
          <cell r="B153" t="str">
            <v xml:space="preserve">HARRISON SIERRA </v>
          </cell>
          <cell r="C153" t="str">
            <v>HARRISON SIERRA CARMONA</v>
          </cell>
          <cell r="D153" t="str">
            <v>ALMACEN CIPRO  ( MARISOL )</v>
          </cell>
          <cell r="E153" t="str">
            <v>CL 70 #8-95</v>
          </cell>
          <cell r="F153" t="str">
            <v xml:space="preserve">CALI -VALLE </v>
          </cell>
          <cell r="G153" t="str">
            <v>3156600678-3051041</v>
          </cell>
          <cell r="H153" t="str">
            <v>BLADIMIR DIAZ</v>
          </cell>
          <cell r="I153" t="str">
            <v>HARRY1143@HOTMAIL.COM</v>
          </cell>
        </row>
        <row r="154">
          <cell r="A154" t="str">
            <v xml:space="preserve"> </v>
          </cell>
          <cell r="B154">
            <v>0</v>
          </cell>
          <cell r="C154" t="str">
            <v>SULTANA    ( CIELO )</v>
          </cell>
          <cell r="D154" t="str">
            <v>-</v>
          </cell>
          <cell r="E154" t="str">
            <v>CRA 8  # 8 41</v>
          </cell>
          <cell r="F154">
            <v>0</v>
          </cell>
          <cell r="G154">
            <v>0</v>
          </cell>
          <cell r="H154" t="str">
            <v>BLADIMIR DIAZ</v>
          </cell>
          <cell r="I154">
            <v>0</v>
          </cell>
        </row>
        <row r="155">
          <cell r="A155">
            <v>0</v>
          </cell>
          <cell r="B155">
            <v>0</v>
          </cell>
          <cell r="C155" t="str">
            <v>TIENDA CERAMICA LA 70 ( WILLIAN )</v>
          </cell>
          <cell r="D155" t="str">
            <v>-</v>
          </cell>
          <cell r="E155" t="str">
            <v>CL 70 #8 -83</v>
          </cell>
          <cell r="F155">
            <v>0</v>
          </cell>
          <cell r="G155">
            <v>0</v>
          </cell>
          <cell r="H155" t="str">
            <v>BLADIMIR DIAZ</v>
          </cell>
          <cell r="I155">
            <v>0</v>
          </cell>
        </row>
        <row r="156">
          <cell r="A156" t="str">
            <v>901660384-2</v>
          </cell>
          <cell r="B156" t="str">
            <v>JEISON PC</v>
          </cell>
          <cell r="C156" t="str">
            <v>DISTRIBUCIONES CAICEDO &amp; CIA JV S.A.S ZOMAC BIC</v>
          </cell>
          <cell r="D156" t="str">
            <v>DISTRIBUCIONES CAICEDO</v>
          </cell>
          <cell r="E156" t="str">
            <v>MZ 3 LT 12 CL 7 CR 3 BRR MIRAFLORES</v>
          </cell>
          <cell r="F156" t="str">
            <v>PUERTO CAICEDO</v>
          </cell>
          <cell r="G156">
            <v>3115230275</v>
          </cell>
          <cell r="H156" t="str">
            <v>BLADIMIR DIAZ</v>
          </cell>
          <cell r="I156" t="str">
            <v>INFO.DISTRICAICEDO@GMAIL.COM</v>
          </cell>
        </row>
        <row r="157">
          <cell r="A157" t="str">
            <v>901797304-2</v>
          </cell>
          <cell r="B157" t="str">
            <v>JAIRO AYALA</v>
          </cell>
          <cell r="C157" t="str">
            <v>CERAMICA BERACA JJ S.A.S</v>
          </cell>
          <cell r="D157" t="str">
            <v>-</v>
          </cell>
          <cell r="E157" t="str">
            <v>CL 46 19-65 SUR</v>
          </cell>
          <cell r="F157" t="str">
            <v xml:space="preserve">BOGOTA </v>
          </cell>
          <cell r="G157" t="str">
            <v>3228420297-3132933873</v>
          </cell>
          <cell r="H157" t="str">
            <v>BLADIMIR DIAZ</v>
          </cell>
          <cell r="I157" t="str">
            <v>JAIRO.AYALA_2019@HOTMAIL.COM</v>
          </cell>
        </row>
        <row r="158">
          <cell r="A158" t="str">
            <v>901692025-0</v>
          </cell>
          <cell r="B158" t="str">
            <v>TOOT Y JMACK</v>
          </cell>
          <cell r="C158" t="str">
            <v>GRUPO EMPRESARIAL  JMACK SAS SAS                    TOOT ( CRISTIAN )</v>
          </cell>
          <cell r="D158" t="str">
            <v>-</v>
          </cell>
          <cell r="E158" t="str">
            <v>CR 8 # 70 36</v>
          </cell>
          <cell r="F158" t="str">
            <v xml:space="preserve">CALI -VALLE </v>
          </cell>
          <cell r="G158">
            <v>3206795525</v>
          </cell>
          <cell r="H158" t="str">
            <v>BLADIMIR DIAZ</v>
          </cell>
          <cell r="I158" t="str">
            <v>grupoempresarialjmack@gmail.com</v>
          </cell>
        </row>
        <row r="159">
          <cell r="A159" t="str">
            <v>16746721-2</v>
          </cell>
          <cell r="B159" t="str">
            <v>JOSE ALVEIRO GALLEGO PEREZ</v>
          </cell>
          <cell r="C159" t="str">
            <v>CERAMICAS CONSTRUHOGAR 2</v>
          </cell>
          <cell r="D159" t="str">
            <v>-</v>
          </cell>
          <cell r="E159" t="str">
            <v>CR 8 73-25</v>
          </cell>
          <cell r="F159">
            <v>0</v>
          </cell>
          <cell r="G159">
            <v>3148695626</v>
          </cell>
          <cell r="H159" t="str">
            <v>BLADIMIR DIAZ</v>
          </cell>
          <cell r="I159">
            <v>0</v>
          </cell>
        </row>
        <row r="160">
          <cell r="A160">
            <v>1116258517</v>
          </cell>
          <cell r="B160" t="str">
            <v>BRAYAN ARNULFO PARRA RUIZ</v>
          </cell>
          <cell r="C160" t="str">
            <v xml:space="preserve">DISTRIBUCIONES NYG (MARINO TULUA)
</v>
          </cell>
          <cell r="D160" t="str">
            <v>-</v>
          </cell>
          <cell r="E160" t="str">
            <v xml:space="preserve">CL 25 20 18 EL CENTRO DE TULUA </v>
          </cell>
          <cell r="F160">
            <v>0</v>
          </cell>
          <cell r="G160">
            <v>3157240129</v>
          </cell>
          <cell r="H160" t="str">
            <v>BLADIMIR DIAZ</v>
          </cell>
          <cell r="I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 t="str">
            <v>-</v>
          </cell>
          <cell r="E161">
            <v>0</v>
          </cell>
          <cell r="F161">
            <v>0</v>
          </cell>
          <cell r="G161">
            <v>0</v>
          </cell>
          <cell r="H161" t="str">
            <v>BLADIMIR DIAZ</v>
          </cell>
          <cell r="I161">
            <v>0</v>
          </cell>
        </row>
        <row r="162">
          <cell r="A162">
            <v>1116262652</v>
          </cell>
          <cell r="B162" t="str">
            <v xml:space="preserve">MARIA ALEJANDRA OLAYA </v>
          </cell>
          <cell r="C162">
            <v>0</v>
          </cell>
          <cell r="D162" t="str">
            <v>-</v>
          </cell>
          <cell r="E162" t="str">
            <v xml:space="preserve">CLL 28  · 24  36    CENTRO </v>
          </cell>
          <cell r="F162">
            <v>0</v>
          </cell>
          <cell r="G162">
            <v>0</v>
          </cell>
          <cell r="H162" t="str">
            <v>BLADIMIR DIAZ</v>
          </cell>
          <cell r="I162">
            <v>0</v>
          </cell>
        </row>
        <row r="163">
          <cell r="A163" t="str">
            <v>29756089-5</v>
          </cell>
          <cell r="B163" t="str">
            <v>LUZ NELLY CARDONA BOETRO</v>
          </cell>
          <cell r="C163" t="str">
            <v xml:space="preserve">DISTRICERAMICAS DEL NORTE </v>
          </cell>
          <cell r="D163" t="str">
            <v>-</v>
          </cell>
          <cell r="E163" t="str">
            <v xml:space="preserve">CL 10 2 46 ROLDANILLO </v>
          </cell>
          <cell r="F163">
            <v>0</v>
          </cell>
          <cell r="G163" t="str">
            <v>316 6295449</v>
          </cell>
          <cell r="H163" t="str">
            <v>BLADIMIR DIAZ</v>
          </cell>
          <cell r="I163">
            <v>0</v>
          </cell>
        </row>
        <row r="164">
          <cell r="A164">
            <v>901157407</v>
          </cell>
          <cell r="B164" t="str">
            <v>MARTA LILIANA GARCIA -FREDY</v>
          </cell>
          <cell r="C164" t="str">
            <v xml:space="preserve">CONSTRUESTILOS </v>
          </cell>
          <cell r="D164" t="str">
            <v>-</v>
          </cell>
          <cell r="E164" t="str">
            <v xml:space="preserve">RESTREPO </v>
          </cell>
          <cell r="F164">
            <v>0</v>
          </cell>
          <cell r="G164">
            <v>3148778361</v>
          </cell>
          <cell r="H164" t="str">
            <v>BLADIMIR DIAZ</v>
          </cell>
          <cell r="I164">
            <v>0</v>
          </cell>
        </row>
        <row r="165">
          <cell r="A165" t="str">
            <v>31176224-1</v>
          </cell>
          <cell r="B165" t="str">
            <v xml:space="preserve">JACQUELINE </v>
          </cell>
          <cell r="C165" t="str">
            <v>AURA MERY ARANA CEDANO</v>
          </cell>
          <cell r="D165" t="str">
            <v>CONSTRUCERAMICAS PALMIRA</v>
          </cell>
          <cell r="E165" t="str">
            <v>CL 28 27 59</v>
          </cell>
          <cell r="F165" t="str">
            <v xml:space="preserve">PALMIRA -VALLE </v>
          </cell>
          <cell r="G165" t="str">
            <v>2855430-3174414283</v>
          </cell>
          <cell r="H165" t="str">
            <v>CIELO VILLAMIZAR</v>
          </cell>
          <cell r="I165" t="str">
            <v>CONSTRUCERAMICAS2016@GMAIL.COM</v>
          </cell>
        </row>
        <row r="166">
          <cell r="A166" t="str">
            <v>901703409-4</v>
          </cell>
          <cell r="B166" t="str">
            <v xml:space="preserve">CARLOS VILLEGAS </v>
          </cell>
          <cell r="C166" t="str">
            <v>MAXIENCHAPES SAS</v>
          </cell>
          <cell r="D166" t="str">
            <v>MAXIENCHAPES SAS</v>
          </cell>
          <cell r="E166" t="str">
            <v>CL 15 12 47</v>
          </cell>
          <cell r="F166" t="str">
            <v xml:space="preserve">CALI -VALLE </v>
          </cell>
          <cell r="G166">
            <v>3167159939</v>
          </cell>
          <cell r="H166" t="str">
            <v>BLADIMIR DIAZ</v>
          </cell>
          <cell r="I166" t="str">
            <v>MAXIENCHAPESCALI@GMAIL.COM</v>
          </cell>
        </row>
        <row r="167">
          <cell r="A167">
            <v>94448020</v>
          </cell>
          <cell r="B167" t="str">
            <v xml:space="preserve">ALEXANDER BONILLA </v>
          </cell>
          <cell r="C167" t="str">
            <v xml:space="preserve">ALEXANDER BONILLA </v>
          </cell>
          <cell r="D167" t="str">
            <v>-</v>
          </cell>
          <cell r="E167" t="str">
            <v xml:space="preserve">SANTANDER DE QUILICHAO </v>
          </cell>
          <cell r="F167">
            <v>0</v>
          </cell>
          <cell r="G167">
            <v>0</v>
          </cell>
          <cell r="H167" t="str">
            <v>BLADIMIR DIAZ</v>
          </cell>
          <cell r="I167">
            <v>0</v>
          </cell>
        </row>
        <row r="168">
          <cell r="A168">
            <v>900477064</v>
          </cell>
          <cell r="B168" t="str">
            <v>JUAN CARLOS BOTERO PATIÑO</v>
          </cell>
          <cell r="C168" t="str">
            <v>BOTERO FERRETERO SAS</v>
          </cell>
          <cell r="D168" t="str">
            <v>BOTERO FERRETERO SAS</v>
          </cell>
          <cell r="E168" t="str">
            <v>CR 7 18 44</v>
          </cell>
          <cell r="F168" t="str">
            <v xml:space="preserve">CALI -VALLE </v>
          </cell>
          <cell r="G168" t="str">
            <v>3164923674-3899458</v>
          </cell>
          <cell r="H168" t="str">
            <v>BLADIMIR DIAZ</v>
          </cell>
          <cell r="I168" t="str">
            <v>BOTEROFERRETERO@HOTMAIL.COM</v>
          </cell>
        </row>
        <row r="169">
          <cell r="A169">
            <v>1151938089</v>
          </cell>
          <cell r="B169" t="str">
            <v>JUAN DAVID CALDERON</v>
          </cell>
          <cell r="C169" t="str">
            <v>JUAN DAVID CALDERON</v>
          </cell>
          <cell r="D169" t="str">
            <v>-</v>
          </cell>
          <cell r="E169" t="str">
            <v>CR 28 D1 #72 V31</v>
          </cell>
          <cell r="F169" t="str">
            <v xml:space="preserve"> CALI- VALLE</v>
          </cell>
          <cell r="G169">
            <v>3057623530</v>
          </cell>
          <cell r="H169" t="str">
            <v>CIELO ALDANA VILLAMIZAR</v>
          </cell>
          <cell r="I169">
            <v>0</v>
          </cell>
        </row>
        <row r="170">
          <cell r="A170">
            <v>1086498547</v>
          </cell>
          <cell r="B170" t="str">
            <v>BERNARDO RUFINO VITERI ORTEGA</v>
          </cell>
          <cell r="C170" t="str">
            <v>BERNARDO RUFINO VITERI ORTEGA</v>
          </cell>
          <cell r="D170" t="str">
            <v>-</v>
          </cell>
          <cell r="E170" t="str">
            <v>CL 17 11 24 BRR FATIMA</v>
          </cell>
          <cell r="F170" t="str">
            <v>PASTO-NARIÑO</v>
          </cell>
          <cell r="G170" t="str">
            <v>3212282496-3106890548</v>
          </cell>
          <cell r="H170" t="str">
            <v>BLADIMIR DIAZ</v>
          </cell>
          <cell r="I170" t="str">
            <v>CONTABILIDADARQUINCOCOLOMBIA@GMAIL.COM</v>
          </cell>
        </row>
        <row r="171">
          <cell r="A171" t="str">
            <v>43512176-1</v>
          </cell>
          <cell r="B171">
            <v>0</v>
          </cell>
          <cell r="C171" t="str">
            <v>GLORIA STELLA GAVIRIA SALAMANCA</v>
          </cell>
          <cell r="D171" t="str">
            <v>GLOBAL HARDWARE</v>
          </cell>
          <cell r="E171" t="str">
            <v>CL 11 1 07 ED JORGE GARCEZ BORRERO OF 509</v>
          </cell>
          <cell r="F171" t="str">
            <v xml:space="preserve">CALI -VALLE </v>
          </cell>
          <cell r="G171" t="str">
            <v>4101726-3207333382</v>
          </cell>
          <cell r="H171" t="str">
            <v>BLADIMIR DIAZ</v>
          </cell>
          <cell r="I171" t="str">
            <v>GLORIAGAV@HOTMAIL.COM</v>
          </cell>
        </row>
        <row r="172">
          <cell r="A172" t="str">
            <v>900449822-0</v>
          </cell>
          <cell r="B172">
            <v>0</v>
          </cell>
          <cell r="C172" t="str">
            <v>DISTRIBUIDORA C&amp;D SAS</v>
          </cell>
          <cell r="D172" t="str">
            <v>DISTRIBUIDORA C&amp;D SAS</v>
          </cell>
          <cell r="E172" t="str">
            <v>CR 7 13 70 BG 405 CC EL TESORO</v>
          </cell>
          <cell r="F172" t="str">
            <v xml:space="preserve">CALI -VALLE </v>
          </cell>
          <cell r="G172" t="str">
            <v>3103881897-3167653696</v>
          </cell>
          <cell r="H172" t="str">
            <v>BLADIMIR DIAZ</v>
          </cell>
          <cell r="I172" t="str">
            <v>CYDASAS@HOTMAIL.COM</v>
          </cell>
        </row>
        <row r="173">
          <cell r="A173" t="str">
            <v>1144151250-6</v>
          </cell>
          <cell r="B173" t="str">
            <v xml:space="preserve"> DERLY ALEJANDRA DOMINGUEZ</v>
          </cell>
          <cell r="C173" t="str">
            <v>DERLY ALEJANDRA DOMINGUEZ LOPEZ</v>
          </cell>
          <cell r="D173" t="str">
            <v>-</v>
          </cell>
          <cell r="E173" t="str">
            <v>CL 53 98 91 AP 903 TO 3</v>
          </cell>
          <cell r="F173" t="str">
            <v xml:space="preserve">CALI -VALLE </v>
          </cell>
          <cell r="G173" t="str">
            <v>3367924-3186729978</v>
          </cell>
          <cell r="H173" t="str">
            <v>BLADIMIR DIAZ</v>
          </cell>
          <cell r="I173" t="str">
            <v>DI.ALEJANDRODOMINGUEZ@GMAIL.COM</v>
          </cell>
        </row>
        <row r="174">
          <cell r="A174" t="str">
            <v>33745886-6</v>
          </cell>
          <cell r="B174">
            <v>0</v>
          </cell>
          <cell r="C174" t="str">
            <v>ILDA BIBIANA ARIAS BETANCUR</v>
          </cell>
          <cell r="D174" t="str">
            <v>DECORANDO TUS ESPACIOS</v>
          </cell>
          <cell r="E174" t="str">
            <v>CL 8 8 66 BRR CENTRO</v>
          </cell>
          <cell r="F174" t="str">
            <v xml:space="preserve">CALI -VALLE </v>
          </cell>
          <cell r="G174" t="str">
            <v>3217742656-3106277941</v>
          </cell>
          <cell r="H174" t="str">
            <v>BLADIMIR DIAZ</v>
          </cell>
          <cell r="I174" t="str">
            <v>DECORANDO-TUS-ESPACIOS@HOTMAIL.COM</v>
          </cell>
        </row>
        <row r="175">
          <cell r="A175">
            <v>94403401</v>
          </cell>
          <cell r="B175">
            <v>0</v>
          </cell>
          <cell r="C175" t="str">
            <v>DIEGO ALEXANDER POSÚ SANDOVAL</v>
          </cell>
          <cell r="D175" t="str">
            <v>-</v>
          </cell>
          <cell r="E175" t="str">
            <v>CRA 41 B 46 57</v>
          </cell>
          <cell r="F175" t="str">
            <v xml:space="preserve">CALI -VALLE </v>
          </cell>
          <cell r="G175">
            <v>3178134053</v>
          </cell>
          <cell r="H175" t="str">
            <v>BLADIMIR DIAZ</v>
          </cell>
          <cell r="I175" t="str">
            <v>POSUSANDOVAL@GMAIL.COM</v>
          </cell>
        </row>
        <row r="176">
          <cell r="A176" t="str">
            <v>14652107-8</v>
          </cell>
          <cell r="B176" t="str">
            <v>OSITO</v>
          </cell>
          <cell r="C176" t="str">
            <v>FABIO NELSON RODRIGUEZ SINISTERRA</v>
          </cell>
          <cell r="D176" t="str">
            <v>LUJO CERAMICAS</v>
          </cell>
          <cell r="E176" t="str">
            <v>CR 9 73 47 P 1</v>
          </cell>
          <cell r="F176" t="str">
            <v xml:space="preserve">CALI -VALLE </v>
          </cell>
          <cell r="G176" t="str">
            <v>3178937548-6022615772</v>
          </cell>
          <cell r="H176" t="str">
            <v>CIELO VILLAMIZAR</v>
          </cell>
          <cell r="I176" t="str">
            <v>FABIONELSON_82@HOTMAIL.COM</v>
          </cell>
        </row>
        <row r="177">
          <cell r="A177" t="str">
            <v>1088277599-1</v>
          </cell>
          <cell r="B177">
            <v>0</v>
          </cell>
          <cell r="C177" t="str">
            <v>MANUEL ALEJANDRO CASTAÑO RAMIREZ</v>
          </cell>
          <cell r="D177" t="str">
            <v>INAQUA DISTRIBUCIONES</v>
          </cell>
          <cell r="E177" t="str">
            <v>MZ 0 CA 14 BRR HACIENDA CUBA</v>
          </cell>
          <cell r="F177" t="str">
            <v>PEREIRA-RISARALDA</v>
          </cell>
          <cell r="G177" t="str">
            <v>3016442522-3042550661</v>
          </cell>
          <cell r="H177" t="str">
            <v>BLADIMIR DIAZ</v>
          </cell>
          <cell r="I177" t="str">
            <v>INAQUADISTRIBUCIONES@GMAIL.COM</v>
          </cell>
        </row>
        <row r="178">
          <cell r="A178" t="str">
            <v>1144100911-8</v>
          </cell>
          <cell r="B178" t="str">
            <v>SANDRA MILLAN</v>
          </cell>
          <cell r="C178" t="str">
            <v>DANNY MELISSA MILLAN VARELA</v>
          </cell>
          <cell r="D178" t="str">
            <v>MACRO CERAMICAS</v>
          </cell>
          <cell r="E178" t="str">
            <v>CL 15 11 95</v>
          </cell>
          <cell r="F178" t="str">
            <v xml:space="preserve">CALI -VALLE </v>
          </cell>
          <cell r="G178" t="str">
            <v>3168560758-3168559820</v>
          </cell>
          <cell r="H178" t="str">
            <v>CIELO VILLAMIZAR</v>
          </cell>
          <cell r="I178" t="str">
            <v>MACROCERAMICASMV@GMAIL.COM</v>
          </cell>
        </row>
        <row r="179">
          <cell r="A179" t="str">
            <v>1113304913-6</v>
          </cell>
          <cell r="B179" t="str">
            <v>KARINA/DAVID</v>
          </cell>
          <cell r="C179" t="str">
            <v>DAVID ANDRES ENCISO ARAGO</v>
          </cell>
          <cell r="D179" t="str">
            <v>CERAMICAS MEGAFERRE</v>
          </cell>
          <cell r="E179" t="str">
            <v>CALLE 5 CR 9 ESQ BRR EL RECREO</v>
          </cell>
          <cell r="F179" t="str">
            <v>VALLE DEL GUAMUEZ</v>
          </cell>
          <cell r="G179">
            <v>3105526416</v>
          </cell>
          <cell r="H179" t="str">
            <v>BLADIMIR DIAZ</v>
          </cell>
          <cell r="I179" t="str">
            <v>CERAMICASMEGAFERRE@GMAIL.COM</v>
          </cell>
        </row>
        <row r="180">
          <cell r="A180" t="str">
            <v>94405696-7</v>
          </cell>
          <cell r="B180" t="str">
            <v xml:space="preserve">YUDI </v>
          </cell>
          <cell r="C180" t="str">
            <v>MILTON ALEXANDER SAAVEDRA PEREZ</v>
          </cell>
          <cell r="D180" t="str">
            <v>MACROCERAMICA</v>
          </cell>
          <cell r="E180" t="str">
            <v>CR 8 # 74-05 BRR ALFONSO LOPEZ</v>
          </cell>
          <cell r="F180" t="str">
            <v xml:space="preserve">CALI -VALLE </v>
          </cell>
          <cell r="G180" t="str">
            <v>3168886621-6025130262</v>
          </cell>
          <cell r="H180" t="str">
            <v>BLADIMIR DIAZ</v>
          </cell>
          <cell r="I180" t="str">
            <v>ACABADOSMACRO@HOTMAIL.COM</v>
          </cell>
        </row>
        <row r="181">
          <cell r="A181" t="str">
            <v>900966361-4</v>
          </cell>
          <cell r="B181" t="str">
            <v>KARINA/DAVID ENCISO</v>
          </cell>
          <cell r="C181" t="str">
            <v>FID PROY SAS</v>
          </cell>
          <cell r="D181" t="str">
            <v>FID PROY SAS</v>
          </cell>
          <cell r="E181" t="str">
            <v>CR 25 9 47 BRR EL PUERTO</v>
          </cell>
          <cell r="F181" t="str">
            <v xml:space="preserve">PUERTO ASIS -PUTUMAYO </v>
          </cell>
          <cell r="G181" t="str">
            <v>3105899964-3132924823</v>
          </cell>
          <cell r="H181" t="str">
            <v>BLADIMIR DIAZ</v>
          </cell>
          <cell r="I181" t="str">
            <v>FIDPROY@GMAIL.COM</v>
          </cell>
        </row>
        <row r="182">
          <cell r="A182" t="str">
            <v>901894553-5</v>
          </cell>
          <cell r="B182" t="str">
            <v xml:space="preserve">ELMER ALBERTO BENAVIDES </v>
          </cell>
          <cell r="C182" t="str">
            <v>CONSORCIO ALCANTARILLADO VILLAGARZON 2024</v>
          </cell>
          <cell r="D182" t="str">
            <v>-</v>
          </cell>
          <cell r="E182" t="str">
            <v>CRA 3 2 16 BRR INDUSTRIAL</v>
          </cell>
          <cell r="F182" t="str">
            <v>VILLAGARZON-PUTUMAYO</v>
          </cell>
          <cell r="G182">
            <v>3146345097</v>
          </cell>
          <cell r="H182" t="str">
            <v>BLADIMIR DIAZ</v>
          </cell>
          <cell r="I182" t="str">
            <v>ING.INNOVACIVIL88@YAHOO.COM</v>
          </cell>
        </row>
        <row r="183">
          <cell r="A183">
            <v>7547307</v>
          </cell>
          <cell r="B183" t="str">
            <v>VICTOR GARCIA</v>
          </cell>
          <cell r="C183" t="str">
            <v>CARLOS AREVALO</v>
          </cell>
          <cell r="D183" t="str">
            <v>CARLOS AREVALO</v>
          </cell>
          <cell r="E183" t="str">
            <v>-</v>
          </cell>
          <cell r="F183" t="str">
            <v>CALI-VALLE</v>
          </cell>
          <cell r="G183">
            <v>3114583790</v>
          </cell>
          <cell r="H183" t="str">
            <v>VICTOR GARCIA</v>
          </cell>
          <cell r="I183">
            <v>0</v>
          </cell>
        </row>
        <row r="184">
          <cell r="A184" t="str">
            <v>1107054320-3</v>
          </cell>
          <cell r="B184" t="str">
            <v>ERIKA  VARGAS</v>
          </cell>
          <cell r="C184" t="str">
            <v>ANDRES FELIPE CALAPSU MEDINA</v>
          </cell>
          <cell r="D184" t="str">
            <v>ACABADOS MODERNOS</v>
          </cell>
          <cell r="E184" t="str">
            <v>CL 15 21  42</v>
          </cell>
          <cell r="F184" t="str">
            <v>CALI</v>
          </cell>
          <cell r="G184" t="str">
            <v>3104639147-3128801138</v>
          </cell>
          <cell r="H184" t="str">
            <v>CIELO VILLAMIZAR</v>
          </cell>
          <cell r="I184" t="str">
            <v>MARIANACALAPSU@GMAIL.COM</v>
          </cell>
        </row>
        <row r="185">
          <cell r="A185" t="str">
            <v>901641302-8</v>
          </cell>
          <cell r="B185" t="str">
            <v>SEBASTIAN HERRERA HERRERA</v>
          </cell>
          <cell r="C185" t="str">
            <v>SURTIACABADOS EN OBRA SAS</v>
          </cell>
          <cell r="D185" t="str">
            <v>SURTIACABADOS EN OBRA SAS</v>
          </cell>
          <cell r="E185" t="str">
            <v>CR 42 76 56</v>
          </cell>
          <cell r="F185" t="str">
            <v>ITAGUI-ANTIOQUIA</v>
          </cell>
          <cell r="G185">
            <v>3218652655</v>
          </cell>
          <cell r="H185" t="str">
            <v>BLADIMIR DIAZ</v>
          </cell>
          <cell r="I185" t="str">
            <v>SURTIACABADOSENOBRA@GMAIL.COM</v>
          </cell>
        </row>
        <row r="186">
          <cell r="A186" t="str">
            <v>80051499-0</v>
          </cell>
          <cell r="B186" t="str">
            <v>RICARDO CHINCHILLA</v>
          </cell>
          <cell r="C186" t="str">
            <v>WILSON RICARDO CHINCHILLA</v>
          </cell>
          <cell r="D186" t="str">
            <v>GRESIFICADOS FENIX</v>
          </cell>
          <cell r="E186" t="str">
            <v>CALLE 49 7 -41  LEON TRECE</v>
          </cell>
          <cell r="F186" t="str">
            <v>SOACHA</v>
          </cell>
          <cell r="G186">
            <v>3204206189</v>
          </cell>
          <cell r="H186" t="str">
            <v>BLADIMIR DIAZ</v>
          </cell>
          <cell r="I186">
            <v>0</v>
          </cell>
        </row>
        <row r="187">
          <cell r="A187">
            <v>19205921</v>
          </cell>
          <cell r="B187" t="str">
            <v>RICARDO CHINCHILLA</v>
          </cell>
          <cell r="C187" t="str">
            <v>RAFAEL ANTONIO  CAMARGO CIFUENTES</v>
          </cell>
          <cell r="D187" t="str">
            <v>-</v>
          </cell>
          <cell r="E187" t="str">
            <v>CL1  19B  94 ETAPA 1 TORRE 27 APTO 602</v>
          </cell>
          <cell r="F187" t="str">
            <v>SOACHA</v>
          </cell>
          <cell r="G187">
            <v>3204206189</v>
          </cell>
          <cell r="H187" t="str">
            <v>BLADIMIR DIAZ</v>
          </cell>
          <cell r="I187" t="str">
            <v>RAFACAMARTES53@GMAIL.COM</v>
          </cell>
        </row>
        <row r="188">
          <cell r="A188" t="str">
            <v>1130668882-1</v>
          </cell>
          <cell r="B188" t="str">
            <v>LUIS CARLOS BETANCOURTH TORRES</v>
          </cell>
          <cell r="C188" t="str">
            <v>LUIS CARLOS BETANCOURTH TORRES</v>
          </cell>
          <cell r="D188" t="str">
            <v>SERVI HOME MANTENIMIENTO Y RESTAURACION</v>
          </cell>
          <cell r="E188" t="str">
            <v>CL 53 98 91 AP 903 TO 3</v>
          </cell>
          <cell r="F188" t="str">
            <v>CALI- VALLE</v>
          </cell>
          <cell r="G188">
            <v>3156705738</v>
          </cell>
          <cell r="H188" t="str">
            <v>BLADIMIR DIAZ</v>
          </cell>
          <cell r="I188" t="str">
            <v>SERVIHOMECALI@GMAIL.COM</v>
          </cell>
        </row>
        <row r="189">
          <cell r="A189" t="str">
            <v>18186972-8</v>
          </cell>
          <cell r="B189" t="str">
            <v>HERNAN CAIDEDO</v>
          </cell>
          <cell r="C189" t="str">
            <v>HERNANDO JAVIER BENAVIDEZ CAICEDO</v>
          </cell>
          <cell r="D189" t="str">
            <v>-</v>
          </cell>
          <cell r="E189" t="str">
            <v>CLL 7 7A 16</v>
          </cell>
          <cell r="F189" t="str">
            <v>ORITO-PUTUMAYO</v>
          </cell>
          <cell r="G189">
            <v>3133159710</v>
          </cell>
          <cell r="H189" t="str">
            <v>BLADIMIR DIAZ</v>
          </cell>
          <cell r="I189" t="str">
            <v>CERAMICASYMATERIALES1@GMAIL.COM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 REFERENCIA"/>
      <sheetName val="MAESTRO CLIENTE"/>
    </sheetNames>
    <sheetDataSet>
      <sheetData sheetId="0">
        <row r="1">
          <cell r="A1" t="str">
            <v>REFERECIA DOMESTIKO</v>
          </cell>
        </row>
        <row r="3">
          <cell r="A3" t="str">
            <v>GP60601</v>
          </cell>
          <cell r="B3"/>
          <cell r="C3"/>
          <cell r="D3" t="str">
            <v>PORC</v>
          </cell>
          <cell r="E3" t="str">
            <v>PORCELANATO GRIS STONE OSCURO</v>
          </cell>
          <cell r="F3" t="str">
            <v>60X60</v>
          </cell>
          <cell r="G3">
            <v>1.44</v>
          </cell>
          <cell r="H3">
            <v>40</v>
          </cell>
          <cell r="I3">
            <v>27</v>
          </cell>
          <cell r="J3" t="str">
            <v>CAJA</v>
          </cell>
        </row>
        <row r="4">
          <cell r="A4" t="str">
            <v>GP60601A</v>
          </cell>
          <cell r="B4"/>
          <cell r="C4"/>
          <cell r="D4" t="str">
            <v>PORC</v>
          </cell>
          <cell r="E4" t="str">
            <v>PORCELANATO GRIS STONE CLARO</v>
          </cell>
          <cell r="F4" t="str">
            <v>60X60</v>
          </cell>
          <cell r="G4">
            <v>1.44</v>
          </cell>
          <cell r="H4">
            <v>40</v>
          </cell>
          <cell r="I4">
            <v>27</v>
          </cell>
          <cell r="J4" t="str">
            <v>CAJA</v>
          </cell>
        </row>
        <row r="5">
          <cell r="A5" t="str">
            <v>GP60618</v>
          </cell>
          <cell r="B5"/>
          <cell r="C5"/>
          <cell r="D5" t="str">
            <v>PORC</v>
          </cell>
          <cell r="E5" t="str">
            <v>PORCELANATO PIEDRAS DORADAS</v>
          </cell>
          <cell r="F5" t="str">
            <v>60X60</v>
          </cell>
          <cell r="G5">
            <v>1.44</v>
          </cell>
          <cell r="H5">
            <v>40</v>
          </cell>
          <cell r="I5">
            <v>27</v>
          </cell>
          <cell r="J5" t="str">
            <v>CAJA</v>
          </cell>
        </row>
        <row r="6">
          <cell r="A6" t="str">
            <v>GP60607A</v>
          </cell>
          <cell r="B6"/>
          <cell r="C6"/>
          <cell r="D6" t="str">
            <v>PORC</v>
          </cell>
          <cell r="E6" t="str">
            <v xml:space="preserve">PORCELANATO BEIGE PERLADO </v>
          </cell>
          <cell r="F6" t="str">
            <v>60X60</v>
          </cell>
          <cell r="G6">
            <v>1.44</v>
          </cell>
          <cell r="H6">
            <v>40</v>
          </cell>
          <cell r="I6">
            <v>27</v>
          </cell>
          <cell r="J6" t="str">
            <v>CAJA</v>
          </cell>
        </row>
        <row r="7">
          <cell r="A7" t="str">
            <v>GP60607B</v>
          </cell>
          <cell r="B7"/>
          <cell r="C7"/>
          <cell r="D7" t="str">
            <v>PORC</v>
          </cell>
          <cell r="E7" t="str">
            <v>PORCELANATO CAFÉ PERLADO</v>
          </cell>
          <cell r="F7" t="str">
            <v>60X60</v>
          </cell>
          <cell r="G7">
            <v>1.44</v>
          </cell>
          <cell r="H7">
            <v>40</v>
          </cell>
          <cell r="I7">
            <v>27</v>
          </cell>
          <cell r="J7" t="str">
            <v>CAJA</v>
          </cell>
        </row>
        <row r="8">
          <cell r="A8" t="str">
            <v>GP60607C</v>
          </cell>
          <cell r="B8"/>
          <cell r="C8"/>
          <cell r="D8" t="str">
            <v>PORC</v>
          </cell>
          <cell r="E8" t="str">
            <v>PORCELANATO GRIS PERLADO</v>
          </cell>
          <cell r="F8" t="str">
            <v>60X60</v>
          </cell>
          <cell r="G8">
            <v>1.44</v>
          </cell>
          <cell r="H8">
            <v>40</v>
          </cell>
          <cell r="I8">
            <v>27</v>
          </cell>
          <cell r="J8" t="str">
            <v>CAJA</v>
          </cell>
        </row>
        <row r="9">
          <cell r="A9" t="str">
            <v>GP60619</v>
          </cell>
          <cell r="B9" t="str">
            <v>BHCOM027</v>
          </cell>
          <cell r="C9"/>
          <cell r="D9" t="str">
            <v>PORC</v>
          </cell>
          <cell r="E9" t="str">
            <v>PORCELANATO BLANCO BRILLANTE</v>
          </cell>
          <cell r="F9" t="str">
            <v>60X60</v>
          </cell>
          <cell r="G9">
            <v>1.44</v>
          </cell>
          <cell r="H9">
            <v>40</v>
          </cell>
          <cell r="I9">
            <v>27</v>
          </cell>
          <cell r="J9" t="str">
            <v>CAJA</v>
          </cell>
        </row>
        <row r="10">
          <cell r="A10" t="str">
            <v>GP60602</v>
          </cell>
          <cell r="B10"/>
          <cell r="C10"/>
          <cell r="D10" t="str">
            <v>PORC</v>
          </cell>
          <cell r="E10" t="str">
            <v>PORCELANATO CARRARA</v>
          </cell>
          <cell r="F10" t="str">
            <v>60X60</v>
          </cell>
          <cell r="G10">
            <v>1.44</v>
          </cell>
          <cell r="H10">
            <v>40</v>
          </cell>
          <cell r="I10">
            <v>27</v>
          </cell>
          <cell r="J10" t="str">
            <v>CAJA</v>
          </cell>
        </row>
        <row r="11">
          <cell r="A11" t="str">
            <v>GP60622</v>
          </cell>
          <cell r="B11"/>
          <cell r="C11"/>
          <cell r="D11" t="str">
            <v>PORC</v>
          </cell>
          <cell r="E11" t="str">
            <v>PORCELANATO CUARZO GRIS</v>
          </cell>
          <cell r="F11" t="str">
            <v>60X60</v>
          </cell>
          <cell r="G11">
            <v>1.44</v>
          </cell>
          <cell r="H11">
            <v>40</v>
          </cell>
          <cell r="I11">
            <v>27</v>
          </cell>
          <cell r="J11" t="str">
            <v>CAJA</v>
          </cell>
        </row>
        <row r="12">
          <cell r="A12" t="str">
            <v>GP6667</v>
          </cell>
          <cell r="B12"/>
          <cell r="C12"/>
          <cell r="D12" t="str">
            <v>PORC</v>
          </cell>
          <cell r="E12" t="str">
            <v>PORCELANATO CUARZO BEIGE</v>
          </cell>
          <cell r="F12" t="str">
            <v>60X60</v>
          </cell>
          <cell r="G12">
            <v>1.44</v>
          </cell>
          <cell r="H12">
            <v>40</v>
          </cell>
          <cell r="I12">
            <v>27</v>
          </cell>
          <cell r="J12" t="str">
            <v>CAJA</v>
          </cell>
        </row>
        <row r="13">
          <cell r="A13">
            <v>68007</v>
          </cell>
          <cell r="B13"/>
          <cell r="C13"/>
          <cell r="D13" t="str">
            <v>PORC</v>
          </cell>
          <cell r="E13" t="str">
            <v>PORCELANATO SAHARA</v>
          </cell>
          <cell r="F13" t="str">
            <v>60X60</v>
          </cell>
          <cell r="G13">
            <v>1.44</v>
          </cell>
          <cell r="H13">
            <v>40</v>
          </cell>
          <cell r="I13">
            <v>27</v>
          </cell>
          <cell r="J13" t="str">
            <v>CAJA</v>
          </cell>
        </row>
        <row r="14">
          <cell r="A14">
            <v>66021</v>
          </cell>
          <cell r="B14"/>
          <cell r="C14"/>
          <cell r="D14" t="str">
            <v>PORC</v>
          </cell>
          <cell r="E14" t="str">
            <v>PORCELANATO CRISTAL</v>
          </cell>
          <cell r="F14" t="str">
            <v>60X60</v>
          </cell>
          <cell r="G14">
            <v>1.44</v>
          </cell>
          <cell r="H14">
            <v>40</v>
          </cell>
          <cell r="I14">
            <v>24</v>
          </cell>
          <cell r="J14" t="str">
            <v>CAJA</v>
          </cell>
        </row>
        <row r="15">
          <cell r="A15" t="str">
            <v>ZY66184</v>
          </cell>
          <cell r="B15"/>
          <cell r="C15"/>
          <cell r="D15" t="str">
            <v>PORC</v>
          </cell>
          <cell r="E15" t="str">
            <v>PORCELANATO CALACATA</v>
          </cell>
          <cell r="F15" t="str">
            <v>60X60</v>
          </cell>
          <cell r="G15">
            <v>1.44</v>
          </cell>
          <cell r="H15">
            <v>40</v>
          </cell>
          <cell r="I15">
            <v>27</v>
          </cell>
          <cell r="J15" t="str">
            <v>CAJA</v>
          </cell>
        </row>
        <row r="16">
          <cell r="A16" t="str">
            <v>GP63223</v>
          </cell>
          <cell r="B16" t="str">
            <v>GP63223</v>
          </cell>
          <cell r="C16"/>
          <cell r="D16" t="str">
            <v>PORC</v>
          </cell>
          <cell r="E16" t="str">
            <v>PORCELANATO MIAMI</v>
          </cell>
          <cell r="F16" t="str">
            <v>60X60</v>
          </cell>
          <cell r="G16">
            <v>1.44</v>
          </cell>
          <cell r="H16">
            <v>40</v>
          </cell>
          <cell r="I16">
            <v>27</v>
          </cell>
          <cell r="J16" t="str">
            <v>CAJA</v>
          </cell>
        </row>
        <row r="17">
          <cell r="A17" t="str">
            <v>IN-9115</v>
          </cell>
          <cell r="B17"/>
          <cell r="C17"/>
          <cell r="D17" t="str">
            <v>PORC</v>
          </cell>
          <cell r="E17" t="str">
            <v>PORCELANATO SALT-SOLUBLE BEIGE PLANO IVORY</v>
          </cell>
          <cell r="F17" t="str">
            <v>60X60</v>
          </cell>
          <cell r="G17">
            <v>1.44</v>
          </cell>
          <cell r="H17">
            <v>52</v>
          </cell>
          <cell r="I17">
            <v>22.5</v>
          </cell>
          <cell r="J17" t="str">
            <v>CAJA</v>
          </cell>
        </row>
        <row r="18">
          <cell r="A18" t="str">
            <v>CHL6000</v>
          </cell>
          <cell r="B18"/>
          <cell r="C18"/>
          <cell r="D18" t="str">
            <v>PORC</v>
          </cell>
          <cell r="E18" t="str">
            <v>PORCELANATO SALT-SOLUBLE BEIGE PLANO</v>
          </cell>
          <cell r="F18" t="str">
            <v>60X60</v>
          </cell>
          <cell r="G18">
            <v>1.44</v>
          </cell>
          <cell r="H18">
            <v>40</v>
          </cell>
          <cell r="I18">
            <v>24</v>
          </cell>
          <cell r="J18" t="str">
            <v>CAJA</v>
          </cell>
        </row>
        <row r="19">
          <cell r="A19" t="str">
            <v>ST2208</v>
          </cell>
          <cell r="B19"/>
          <cell r="C19"/>
          <cell r="D19" t="str">
            <v>PORC</v>
          </cell>
          <cell r="E19" t="str">
            <v>PORCELANATO SPARK BLANCO</v>
          </cell>
          <cell r="F19" t="str">
            <v>60X120</v>
          </cell>
          <cell r="G19">
            <v>1.44</v>
          </cell>
          <cell r="H19">
            <v>32</v>
          </cell>
          <cell r="I19">
            <v>27</v>
          </cell>
          <cell r="J19" t="str">
            <v>CAJA</v>
          </cell>
        </row>
        <row r="20">
          <cell r="A20" t="str">
            <v>ST2213</v>
          </cell>
          <cell r="B20"/>
          <cell r="C20"/>
          <cell r="D20" t="str">
            <v>PORC</v>
          </cell>
          <cell r="E20" t="str">
            <v>PORCELANATO STATUARIO BLANCO</v>
          </cell>
          <cell r="F20" t="str">
            <v>60X120</v>
          </cell>
          <cell r="G20">
            <v>1.44</v>
          </cell>
          <cell r="H20">
            <v>32</v>
          </cell>
          <cell r="I20">
            <v>27</v>
          </cell>
          <cell r="J20" t="str">
            <v>CAJA</v>
          </cell>
        </row>
        <row r="21">
          <cell r="A21" t="str">
            <v>ST8919C</v>
          </cell>
          <cell r="B21"/>
          <cell r="C21"/>
          <cell r="D21" t="str">
            <v>PORC</v>
          </cell>
          <cell r="E21" t="str">
            <v>PORCELANATO GRIS PLAZA CLARO</v>
          </cell>
          <cell r="F21" t="str">
            <v>60X120</v>
          </cell>
          <cell r="G21">
            <v>1.44</v>
          </cell>
          <cell r="H21">
            <v>32</v>
          </cell>
          <cell r="I21">
            <v>27</v>
          </cell>
          <cell r="J21" t="str">
            <v>CAJA</v>
          </cell>
        </row>
        <row r="22">
          <cell r="A22" t="str">
            <v>ST8919O</v>
          </cell>
          <cell r="B22"/>
          <cell r="C22"/>
          <cell r="D22" t="str">
            <v>PORC</v>
          </cell>
          <cell r="E22" t="str">
            <v>PORCELANATO GRIS PLAZA OSCURO</v>
          </cell>
          <cell r="F22" t="str">
            <v>60X120</v>
          </cell>
          <cell r="G22">
            <v>1.44</v>
          </cell>
          <cell r="H22">
            <v>32</v>
          </cell>
          <cell r="I22">
            <v>27</v>
          </cell>
          <cell r="J22" t="str">
            <v>CAJA</v>
          </cell>
        </row>
        <row r="23">
          <cell r="A23" t="str">
            <v>FS00CR00</v>
          </cell>
          <cell r="B23"/>
          <cell r="C23"/>
          <cell r="D23" t="str">
            <v>PORC</v>
          </cell>
          <cell r="E23" t="str">
            <v>PORCELANATO CARRARA VETA CLARA</v>
          </cell>
          <cell r="F23" t="str">
            <v>60X60</v>
          </cell>
          <cell r="G23">
            <v>1.44</v>
          </cell>
          <cell r="H23"/>
          <cell r="I23">
            <v>21.5</v>
          </cell>
          <cell r="J23" t="str">
            <v>CAJA</v>
          </cell>
        </row>
        <row r="24">
          <cell r="A24">
            <v>8014</v>
          </cell>
          <cell r="B24"/>
          <cell r="C24"/>
          <cell r="D24" t="str">
            <v>PORC</v>
          </cell>
          <cell r="E24" t="str">
            <v>PORCELANATO VETA MADERA SALT SOLUBLE</v>
          </cell>
          <cell r="F24" t="str">
            <v>60X60</v>
          </cell>
          <cell r="G24">
            <v>1.44</v>
          </cell>
          <cell r="H24">
            <v>50</v>
          </cell>
          <cell r="I24">
            <v>21.5</v>
          </cell>
          <cell r="J24" t="str">
            <v>CAJA</v>
          </cell>
        </row>
        <row r="25">
          <cell r="A25">
            <v>8001</v>
          </cell>
          <cell r="B25"/>
          <cell r="C25"/>
          <cell r="D25" t="str">
            <v>PORC</v>
          </cell>
          <cell r="E25" t="str">
            <v>PORCELANATO VETA MARMOL SALT SOLUBLE</v>
          </cell>
          <cell r="F25" t="str">
            <v>60X60</v>
          </cell>
          <cell r="G25">
            <v>1.44</v>
          </cell>
          <cell r="H25">
            <v>50</v>
          </cell>
          <cell r="I25">
            <v>21.5</v>
          </cell>
          <cell r="J25" t="str">
            <v>CAJA</v>
          </cell>
        </row>
        <row r="26">
          <cell r="A26">
            <v>8002</v>
          </cell>
          <cell r="B26"/>
          <cell r="C26"/>
          <cell r="D26" t="str">
            <v>PORC</v>
          </cell>
          <cell r="E26" t="str">
            <v>PORCELANATO MINERAL SALT SOLUBLE</v>
          </cell>
          <cell r="F26" t="str">
            <v>60X60</v>
          </cell>
          <cell r="G26">
            <v>1.44</v>
          </cell>
          <cell r="H26">
            <v>50</v>
          </cell>
          <cell r="I26">
            <v>21.5</v>
          </cell>
          <cell r="J26" t="str">
            <v>CAJA</v>
          </cell>
        </row>
        <row r="27">
          <cell r="A27">
            <v>8005</v>
          </cell>
          <cell r="B27"/>
          <cell r="C27"/>
          <cell r="D27" t="str">
            <v>PORC</v>
          </cell>
          <cell r="E27" t="str">
            <v>PORCELANATO ROBLE SALT SOLUBLE</v>
          </cell>
          <cell r="F27" t="str">
            <v>60X60</v>
          </cell>
          <cell r="G27">
            <v>1.44</v>
          </cell>
          <cell r="H27">
            <v>50</v>
          </cell>
          <cell r="I27">
            <v>21.5</v>
          </cell>
          <cell r="J27" t="str">
            <v>CAJA</v>
          </cell>
        </row>
        <row r="28">
          <cell r="A28">
            <v>8008</v>
          </cell>
          <cell r="B28"/>
          <cell r="C28"/>
          <cell r="D28" t="str">
            <v>PORC</v>
          </cell>
          <cell r="E28" t="str">
            <v>PORCELANATO TRAVERTINO SALT SOLUBLE</v>
          </cell>
          <cell r="F28" t="str">
            <v>60X60</v>
          </cell>
          <cell r="G28">
            <v>1.44</v>
          </cell>
          <cell r="H28">
            <v>50</v>
          </cell>
          <cell r="I28">
            <v>21.5</v>
          </cell>
          <cell r="J28" t="str">
            <v>CAJA</v>
          </cell>
        </row>
        <row r="29">
          <cell r="A29">
            <v>8010</v>
          </cell>
          <cell r="B29"/>
          <cell r="C29"/>
          <cell r="D29" t="str">
            <v>PORC</v>
          </cell>
          <cell r="E29" t="str">
            <v>PORCELANATO CUARZON SALT SOLUBLE</v>
          </cell>
          <cell r="F29" t="str">
            <v>60X60</v>
          </cell>
          <cell r="G29">
            <v>1.44</v>
          </cell>
          <cell r="H29">
            <v>50</v>
          </cell>
          <cell r="I29">
            <v>21.5</v>
          </cell>
          <cell r="J29" t="str">
            <v>CAJA</v>
          </cell>
        </row>
        <row r="30">
          <cell r="A30">
            <v>8054</v>
          </cell>
          <cell r="B30"/>
          <cell r="C30"/>
          <cell r="D30" t="str">
            <v>PORC</v>
          </cell>
          <cell r="E30" t="str">
            <v>PORCELANATO NATURA SALT SOLUBLE</v>
          </cell>
          <cell r="F30" t="str">
            <v>60X60</v>
          </cell>
          <cell r="G30">
            <v>1.44</v>
          </cell>
          <cell r="H30">
            <v>50</v>
          </cell>
          <cell r="I30">
            <v>21.5</v>
          </cell>
          <cell r="J30" t="str">
            <v>CAJA</v>
          </cell>
        </row>
        <row r="31">
          <cell r="A31">
            <v>8013</v>
          </cell>
          <cell r="B31"/>
          <cell r="C31"/>
          <cell r="D31" t="str">
            <v>PORC</v>
          </cell>
          <cell r="E31" t="str">
            <v>PORCELANATO MARMOLIZADO SALT SOLUBLE</v>
          </cell>
          <cell r="F31" t="str">
            <v>60X60</v>
          </cell>
          <cell r="G31">
            <v>1.44</v>
          </cell>
          <cell r="H31">
            <v>50</v>
          </cell>
          <cell r="I31">
            <v>21.5</v>
          </cell>
          <cell r="J31" t="str">
            <v>CAJA</v>
          </cell>
        </row>
        <row r="32">
          <cell r="A32" t="str">
            <v>ST2216</v>
          </cell>
          <cell r="B32"/>
          <cell r="C32"/>
          <cell r="D32" t="str">
            <v>PORC</v>
          </cell>
          <cell r="E32" t="str">
            <v xml:space="preserve">PORCELANATO KINDER BLANCO </v>
          </cell>
          <cell r="F32" t="str">
            <v>60X120</v>
          </cell>
          <cell r="G32">
            <v>1.44</v>
          </cell>
          <cell r="H32">
            <v>32</v>
          </cell>
          <cell r="I32">
            <v>27</v>
          </cell>
          <cell r="J32" t="str">
            <v>CAJA</v>
          </cell>
        </row>
        <row r="33">
          <cell r="A33" t="str">
            <v>ST2235</v>
          </cell>
          <cell r="B33"/>
          <cell r="C33"/>
          <cell r="D33" t="str">
            <v>PORC</v>
          </cell>
          <cell r="E33" t="str">
            <v xml:space="preserve">PORCELANATO PUMA GRIS </v>
          </cell>
          <cell r="F33" t="str">
            <v>60X120</v>
          </cell>
          <cell r="G33">
            <v>1.44</v>
          </cell>
          <cell r="H33">
            <v>32</v>
          </cell>
          <cell r="I33">
            <v>27</v>
          </cell>
          <cell r="J33" t="str">
            <v>CAJA</v>
          </cell>
        </row>
        <row r="34">
          <cell r="A34" t="str">
            <v>ST8901B</v>
          </cell>
          <cell r="B34"/>
          <cell r="C34"/>
          <cell r="D34" t="str">
            <v>PORC</v>
          </cell>
          <cell r="E34" t="str">
            <v xml:space="preserve">PORCELANATO SUPER NEGRO </v>
          </cell>
          <cell r="F34" t="str">
            <v>60X120</v>
          </cell>
          <cell r="G34">
            <v>1.44</v>
          </cell>
          <cell r="H34">
            <v>32</v>
          </cell>
          <cell r="I34">
            <v>27</v>
          </cell>
          <cell r="J34" t="str">
            <v>CAJA</v>
          </cell>
        </row>
        <row r="35">
          <cell r="A35">
            <v>60169</v>
          </cell>
          <cell r="B35"/>
          <cell r="C35"/>
          <cell r="D35" t="str">
            <v>PORC</v>
          </cell>
          <cell r="E35" t="str">
            <v>PORCELANATO TOLUSE</v>
          </cell>
          <cell r="F35" t="str">
            <v>60X60</v>
          </cell>
          <cell r="G35">
            <v>1.44</v>
          </cell>
          <cell r="H35">
            <v>40</v>
          </cell>
          <cell r="I35">
            <v>27</v>
          </cell>
          <cell r="J35" t="str">
            <v>CAJA</v>
          </cell>
        </row>
        <row r="36">
          <cell r="A36">
            <v>23244</v>
          </cell>
          <cell r="B36"/>
          <cell r="C36"/>
          <cell r="D36" t="str">
            <v>PORC</v>
          </cell>
          <cell r="E36" t="str">
            <v>PORCELANATO BURDEOS</v>
          </cell>
          <cell r="F36" t="str">
            <v>60X60</v>
          </cell>
          <cell r="G36">
            <v>1.44</v>
          </cell>
          <cell r="H36">
            <v>40</v>
          </cell>
          <cell r="I36">
            <v>27</v>
          </cell>
          <cell r="J36" t="str">
            <v>CAJA</v>
          </cell>
        </row>
        <row r="37">
          <cell r="A37">
            <v>66083</v>
          </cell>
          <cell r="B37"/>
          <cell r="C37"/>
          <cell r="D37" t="str">
            <v>PORC</v>
          </cell>
          <cell r="E37" t="str">
            <v>PORCELANATO NISA</v>
          </cell>
          <cell r="F37" t="str">
            <v>60X60</v>
          </cell>
          <cell r="G37">
            <v>1.44</v>
          </cell>
          <cell r="H37">
            <v>40</v>
          </cell>
          <cell r="I37">
            <v>27</v>
          </cell>
          <cell r="J37" t="str">
            <v>CAJA</v>
          </cell>
        </row>
        <row r="38">
          <cell r="A38">
            <v>216056</v>
          </cell>
          <cell r="B38"/>
          <cell r="C38"/>
          <cell r="D38" t="str">
            <v>PORC</v>
          </cell>
          <cell r="E38" t="str">
            <v>PORCELANATO MARBELLA</v>
          </cell>
          <cell r="F38" t="str">
            <v>60X60</v>
          </cell>
          <cell r="G38">
            <v>1.44</v>
          </cell>
          <cell r="H38">
            <v>40</v>
          </cell>
          <cell r="I38">
            <v>27</v>
          </cell>
          <cell r="J38" t="str">
            <v>CAJA</v>
          </cell>
        </row>
        <row r="39">
          <cell r="A39" t="str">
            <v>612008G</v>
          </cell>
          <cell r="B39"/>
          <cell r="C39"/>
          <cell r="D39" t="str">
            <v>PORC</v>
          </cell>
          <cell r="E39" t="str">
            <v>PORCELANATO MARRUECOS</v>
          </cell>
          <cell r="F39" t="str">
            <v>60X120</v>
          </cell>
          <cell r="G39">
            <v>1.44</v>
          </cell>
          <cell r="H39">
            <v>60</v>
          </cell>
          <cell r="I39">
            <v>32</v>
          </cell>
          <cell r="J39" t="str">
            <v>CAJA</v>
          </cell>
        </row>
        <row r="40">
          <cell r="A40" t="str">
            <v>612003G</v>
          </cell>
          <cell r="B40"/>
          <cell r="C40"/>
          <cell r="D40" t="str">
            <v>PORC</v>
          </cell>
          <cell r="E40" t="str">
            <v>PORCELANATO ZAMBIA</v>
          </cell>
          <cell r="F40" t="str">
            <v>60X120</v>
          </cell>
          <cell r="G40">
            <v>1.44</v>
          </cell>
          <cell r="H40">
            <v>60</v>
          </cell>
          <cell r="I40">
            <v>32</v>
          </cell>
          <cell r="J40" t="str">
            <v>CAJA</v>
          </cell>
        </row>
        <row r="41">
          <cell r="A41" t="str">
            <v>612002G</v>
          </cell>
          <cell r="B41"/>
          <cell r="C41"/>
          <cell r="D41" t="str">
            <v>PORC</v>
          </cell>
          <cell r="E41" t="str">
            <v>PORCELANATO LIBERIA</v>
          </cell>
          <cell r="F41" t="str">
            <v>60X120</v>
          </cell>
          <cell r="G41">
            <v>1.44</v>
          </cell>
          <cell r="H41">
            <v>60</v>
          </cell>
          <cell r="I41">
            <v>32</v>
          </cell>
          <cell r="J41" t="str">
            <v>CAJA</v>
          </cell>
        </row>
        <row r="42">
          <cell r="A42" t="str">
            <v>612001G</v>
          </cell>
          <cell r="B42"/>
          <cell r="C42"/>
          <cell r="D42" t="str">
            <v>PORC</v>
          </cell>
          <cell r="E42" t="str">
            <v>PORCELANATO TUNEZ</v>
          </cell>
          <cell r="F42" t="str">
            <v>60X120</v>
          </cell>
          <cell r="G42">
            <v>1.44</v>
          </cell>
          <cell r="H42">
            <v>60</v>
          </cell>
          <cell r="I42">
            <v>32</v>
          </cell>
          <cell r="J42" t="str">
            <v>CAJA</v>
          </cell>
        </row>
        <row r="43">
          <cell r="A43">
            <v>1260601</v>
          </cell>
          <cell r="B43"/>
          <cell r="C43"/>
          <cell r="D43" t="str">
            <v>PORC</v>
          </cell>
          <cell r="E43" t="str">
            <v xml:space="preserve">PORCELANATO STONE OSCURO </v>
          </cell>
          <cell r="F43" t="str">
            <v>60X120</v>
          </cell>
          <cell r="G43">
            <v>2.16</v>
          </cell>
          <cell r="H43">
            <v>40</v>
          </cell>
          <cell r="I43">
            <v>43</v>
          </cell>
          <cell r="J43" t="str">
            <v>CAJA</v>
          </cell>
        </row>
        <row r="44">
          <cell r="A44">
            <v>1260602</v>
          </cell>
          <cell r="B44"/>
          <cell r="C44"/>
          <cell r="D44" t="str">
            <v>PORC</v>
          </cell>
          <cell r="E44" t="str">
            <v xml:space="preserve">PORCELANATO CARRARA </v>
          </cell>
          <cell r="F44" t="str">
            <v>60X120</v>
          </cell>
          <cell r="G44">
            <v>2.16</v>
          </cell>
          <cell r="H44">
            <v>40</v>
          </cell>
          <cell r="I44">
            <v>43</v>
          </cell>
          <cell r="J44" t="str">
            <v>CAJA</v>
          </cell>
        </row>
        <row r="45">
          <cell r="A45" t="str">
            <v>1260607C</v>
          </cell>
          <cell r="B45"/>
          <cell r="C45"/>
          <cell r="D45" t="str">
            <v>PORC</v>
          </cell>
          <cell r="E45" t="str">
            <v>PORCELANATO GRIS PERLADO</v>
          </cell>
          <cell r="F45" t="str">
            <v>60X120</v>
          </cell>
          <cell r="G45">
            <v>2.16</v>
          </cell>
          <cell r="H45">
            <v>40</v>
          </cell>
          <cell r="I45">
            <v>43</v>
          </cell>
          <cell r="J45" t="str">
            <v>CAJA</v>
          </cell>
        </row>
        <row r="46">
          <cell r="A46" t="str">
            <v>PB3000</v>
          </cell>
          <cell r="B46"/>
          <cell r="C46"/>
          <cell r="D46" t="str">
            <v>PORC</v>
          </cell>
          <cell r="E46" t="str">
            <v>PORCELANATO SUPER NEGRO JADE</v>
          </cell>
          <cell r="F46" t="str">
            <v>60X120</v>
          </cell>
          <cell r="G46">
            <v>1.44</v>
          </cell>
          <cell r="H46">
            <v>68</v>
          </cell>
          <cell r="I46">
            <v>26.5</v>
          </cell>
          <cell r="J46" t="str">
            <v>CAJA</v>
          </cell>
        </row>
        <row r="47">
          <cell r="A47" t="str">
            <v>SW3200</v>
          </cell>
          <cell r="B47"/>
          <cell r="C47"/>
          <cell r="D47" t="str">
            <v>PORC</v>
          </cell>
          <cell r="E47" t="str">
            <v>PORCELANATO SUPER BLANCO</v>
          </cell>
          <cell r="F47" t="str">
            <v>60X120</v>
          </cell>
          <cell r="G47">
            <v>1.44</v>
          </cell>
          <cell r="H47">
            <v>68</v>
          </cell>
          <cell r="I47">
            <v>26.5</v>
          </cell>
          <cell r="J47" t="str">
            <v>CAJA</v>
          </cell>
        </row>
        <row r="48">
          <cell r="A48" t="str">
            <v>HG5577</v>
          </cell>
          <cell r="B48" t="str">
            <v>HG5577</v>
          </cell>
          <cell r="C48"/>
          <cell r="D48" t="str">
            <v>PORC</v>
          </cell>
          <cell r="E48" t="str">
            <v xml:space="preserve">PORCELANATO SPIDER GOLD </v>
          </cell>
          <cell r="F48" t="str">
            <v>60X120</v>
          </cell>
          <cell r="G48">
            <v>1.44</v>
          </cell>
          <cell r="H48">
            <v>64</v>
          </cell>
          <cell r="I48">
            <v>26.5</v>
          </cell>
          <cell r="J48" t="str">
            <v>CAJA</v>
          </cell>
        </row>
        <row r="49">
          <cell r="A49" t="str">
            <v>P61251</v>
          </cell>
          <cell r="B49"/>
          <cell r="C49"/>
          <cell r="D49" t="str">
            <v>PORC</v>
          </cell>
          <cell r="E49" t="str">
            <v>PORCELANATO EVEREST</v>
          </cell>
          <cell r="F49" t="str">
            <v>60X120</v>
          </cell>
          <cell r="G49">
            <v>2.16</v>
          </cell>
          <cell r="H49">
            <v>52</v>
          </cell>
          <cell r="I49">
            <v>46</v>
          </cell>
          <cell r="J49" t="str">
            <v>CAJA</v>
          </cell>
        </row>
        <row r="50">
          <cell r="A50" t="str">
            <v>P61252</v>
          </cell>
          <cell r="B50"/>
          <cell r="C50"/>
          <cell r="D50" t="str">
            <v>PORC</v>
          </cell>
          <cell r="E50" t="str">
            <v>PORCELANATO KIEV</v>
          </cell>
          <cell r="F50" t="str">
            <v>60X120</v>
          </cell>
          <cell r="G50">
            <v>2.16</v>
          </cell>
          <cell r="H50">
            <v>52</v>
          </cell>
          <cell r="I50">
            <v>46</v>
          </cell>
          <cell r="J50" t="str">
            <v>CAJA</v>
          </cell>
        </row>
        <row r="51">
          <cell r="A51" t="str">
            <v>GP577857</v>
          </cell>
          <cell r="B51"/>
          <cell r="C51"/>
          <cell r="D51" t="str">
            <v>PORC</v>
          </cell>
          <cell r="E51" t="str">
            <v>PORCELANATO PULPIS GRIS</v>
          </cell>
          <cell r="F51" t="str">
            <v>60X60</v>
          </cell>
          <cell r="G51">
            <v>1.44</v>
          </cell>
          <cell r="H51">
            <v>44</v>
          </cell>
          <cell r="I51">
            <v>26.35</v>
          </cell>
          <cell r="J51" t="str">
            <v>CAJA</v>
          </cell>
        </row>
        <row r="52">
          <cell r="A52" t="str">
            <v>GP80115</v>
          </cell>
          <cell r="B52"/>
          <cell r="C52"/>
          <cell r="D52" t="str">
            <v>PORC</v>
          </cell>
          <cell r="E52" t="str">
            <v>PORCELANATO CALCATTA GOLD</v>
          </cell>
          <cell r="F52" t="str">
            <v>60X60</v>
          </cell>
          <cell r="G52">
            <v>1.44</v>
          </cell>
          <cell r="H52">
            <v>44</v>
          </cell>
          <cell r="I52">
            <v>26.35</v>
          </cell>
          <cell r="J52" t="str">
            <v>CAJA</v>
          </cell>
        </row>
        <row r="53">
          <cell r="A53" t="str">
            <v>GP70330</v>
          </cell>
          <cell r="B53"/>
          <cell r="C53"/>
          <cell r="D53" t="str">
            <v>PORC</v>
          </cell>
          <cell r="E53" t="str">
            <v>PORCELANATO BARDIGIO NATURAL</v>
          </cell>
          <cell r="F53" t="str">
            <v>60X60</v>
          </cell>
          <cell r="G53">
            <v>1.44</v>
          </cell>
          <cell r="H53">
            <v>44</v>
          </cell>
          <cell r="I53">
            <v>26.35</v>
          </cell>
          <cell r="J53" t="str">
            <v>CAJA</v>
          </cell>
        </row>
        <row r="54">
          <cell r="A54" t="str">
            <v>GP70331</v>
          </cell>
          <cell r="B54"/>
          <cell r="C54"/>
          <cell r="D54" t="str">
            <v>PORC</v>
          </cell>
          <cell r="E54" t="str">
            <v>PORCELANATO BARDIGIO GRIS</v>
          </cell>
          <cell r="F54" t="str">
            <v>60X60</v>
          </cell>
          <cell r="G54">
            <v>1.44</v>
          </cell>
          <cell r="H54">
            <v>44</v>
          </cell>
          <cell r="I54">
            <v>26.35</v>
          </cell>
          <cell r="J54" t="str">
            <v>CAJA</v>
          </cell>
        </row>
        <row r="55">
          <cell r="A55" t="str">
            <v>GP70482</v>
          </cell>
          <cell r="B55"/>
          <cell r="C55"/>
          <cell r="D55" t="str">
            <v>PORC</v>
          </cell>
          <cell r="E55" t="str">
            <v>PORCELANATO MALIBU GRIS</v>
          </cell>
          <cell r="F55" t="str">
            <v>60X60</v>
          </cell>
          <cell r="G55">
            <v>1.44</v>
          </cell>
          <cell r="H55">
            <v>44</v>
          </cell>
          <cell r="I55">
            <v>26.35</v>
          </cell>
          <cell r="J55" t="str">
            <v>CAJA</v>
          </cell>
        </row>
        <row r="56">
          <cell r="A56" t="str">
            <v>GP80222</v>
          </cell>
          <cell r="B56"/>
          <cell r="C56"/>
          <cell r="D56" t="str">
            <v>PORC</v>
          </cell>
          <cell r="E56" t="str">
            <v>PORCELANATO AVENZO BLANCO</v>
          </cell>
          <cell r="F56" t="str">
            <v>60X60</v>
          </cell>
          <cell r="G56">
            <v>1.44</v>
          </cell>
          <cell r="H56">
            <v>44</v>
          </cell>
          <cell r="I56">
            <v>26.35</v>
          </cell>
          <cell r="J56" t="str">
            <v>CAJA</v>
          </cell>
        </row>
        <row r="57">
          <cell r="A57" t="str">
            <v>OG66010</v>
          </cell>
          <cell r="B57" t="str">
            <v>PPY66010</v>
          </cell>
          <cell r="C57"/>
          <cell r="D57" t="str">
            <v>PORC</v>
          </cell>
          <cell r="E57" t="str">
            <v>PORCELANATO CALACATA LIMA</v>
          </cell>
          <cell r="F57" t="str">
            <v>60X60</v>
          </cell>
          <cell r="G57">
            <v>1.44</v>
          </cell>
          <cell r="H57">
            <v>40</v>
          </cell>
          <cell r="I57">
            <v>29</v>
          </cell>
          <cell r="J57" t="str">
            <v>CAJA</v>
          </cell>
        </row>
        <row r="58">
          <cell r="A58" t="str">
            <v>OG66044</v>
          </cell>
          <cell r="B58" t="str">
            <v>PPY66044</v>
          </cell>
          <cell r="C58"/>
          <cell r="D58" t="str">
            <v>PORC</v>
          </cell>
          <cell r="E58" t="str">
            <v>PORCELANATO CUSCO GRIS CLARO</v>
          </cell>
          <cell r="F58" t="str">
            <v>60X60</v>
          </cell>
          <cell r="G58">
            <v>1.44</v>
          </cell>
          <cell r="H58">
            <v>40</v>
          </cell>
          <cell r="I58">
            <v>29</v>
          </cell>
          <cell r="J58" t="str">
            <v>CAJA</v>
          </cell>
        </row>
        <row r="59">
          <cell r="A59" t="str">
            <v>OG66021</v>
          </cell>
          <cell r="B59" t="str">
            <v>PPY66021</v>
          </cell>
          <cell r="C59"/>
          <cell r="D59" t="str">
            <v>PORC</v>
          </cell>
          <cell r="E59" t="str">
            <v>PORCELANATO AREQUIPA BEIGE</v>
          </cell>
          <cell r="F59" t="str">
            <v>60X60</v>
          </cell>
          <cell r="G59">
            <v>1.44</v>
          </cell>
          <cell r="H59">
            <v>40</v>
          </cell>
          <cell r="I59">
            <v>29</v>
          </cell>
          <cell r="J59" t="str">
            <v>CAJA</v>
          </cell>
        </row>
        <row r="60">
          <cell r="A60" t="str">
            <v>OG66031</v>
          </cell>
          <cell r="B60" t="str">
            <v>PPY66031</v>
          </cell>
          <cell r="C60"/>
          <cell r="D60" t="str">
            <v>PORC</v>
          </cell>
          <cell r="E60" t="str">
            <v>PORCELANATO GOTAS</v>
          </cell>
          <cell r="F60" t="str">
            <v>60X60</v>
          </cell>
          <cell r="G60">
            <v>1.44</v>
          </cell>
          <cell r="H60">
            <v>40</v>
          </cell>
          <cell r="I60">
            <v>29</v>
          </cell>
          <cell r="J60" t="str">
            <v>CAJA</v>
          </cell>
        </row>
        <row r="61">
          <cell r="A61" t="str">
            <v>OG66037</v>
          </cell>
          <cell r="B61" t="str">
            <v>PPY66037</v>
          </cell>
          <cell r="C61"/>
          <cell r="D61" t="str">
            <v>PORC</v>
          </cell>
          <cell r="E61" t="str">
            <v>PORCELANATO MARMOLIZADO BEIGE</v>
          </cell>
          <cell r="F61" t="str">
            <v>60X60</v>
          </cell>
          <cell r="G61">
            <v>1.44</v>
          </cell>
          <cell r="H61">
            <v>40</v>
          </cell>
          <cell r="I61">
            <v>29</v>
          </cell>
          <cell r="J61" t="str">
            <v>CAJA</v>
          </cell>
        </row>
        <row r="62">
          <cell r="A62" t="str">
            <v>OG66039</v>
          </cell>
          <cell r="B62" t="str">
            <v>PPY66039</v>
          </cell>
          <cell r="C62"/>
          <cell r="D62" t="str">
            <v>PORC</v>
          </cell>
          <cell r="E62" t="str">
            <v>PORCELAANTO INCA BEIGE</v>
          </cell>
          <cell r="F62" t="str">
            <v>60X60</v>
          </cell>
          <cell r="G62">
            <v>1.44</v>
          </cell>
          <cell r="H62">
            <v>40</v>
          </cell>
          <cell r="I62">
            <v>29</v>
          </cell>
          <cell r="J62" t="str">
            <v>CAJA</v>
          </cell>
        </row>
        <row r="63">
          <cell r="A63" t="str">
            <v>OG66040</v>
          </cell>
          <cell r="B63" t="str">
            <v>PPY66040</v>
          </cell>
          <cell r="C63"/>
          <cell r="D63" t="str">
            <v>PORC</v>
          </cell>
          <cell r="E63" t="str">
            <v>PORCELANATO CUSCO GRIS OSCURO</v>
          </cell>
          <cell r="F63" t="str">
            <v>60X60</v>
          </cell>
          <cell r="G63">
            <v>1.44</v>
          </cell>
          <cell r="H63">
            <v>40</v>
          </cell>
          <cell r="I63">
            <v>29</v>
          </cell>
          <cell r="J63" t="str">
            <v>CAJA</v>
          </cell>
        </row>
        <row r="64">
          <cell r="A64" t="str">
            <v>OG66025</v>
          </cell>
          <cell r="B64" t="str">
            <v>PPY66025</v>
          </cell>
          <cell r="C64"/>
          <cell r="D64" t="str">
            <v>PORC</v>
          </cell>
          <cell r="E64" t="str">
            <v>PORCELANATO JUNIN CLARO</v>
          </cell>
          <cell r="F64" t="str">
            <v>60X60</v>
          </cell>
          <cell r="G64">
            <v>1.44</v>
          </cell>
          <cell r="H64">
            <v>40</v>
          </cell>
          <cell r="I64">
            <v>29</v>
          </cell>
          <cell r="J64" t="str">
            <v>CAJA</v>
          </cell>
        </row>
        <row r="65">
          <cell r="A65" t="str">
            <v>OG6615D</v>
          </cell>
          <cell r="B65" t="str">
            <v>JM6615D</v>
          </cell>
          <cell r="C65"/>
          <cell r="D65" t="str">
            <v>PORC</v>
          </cell>
          <cell r="E65" t="str">
            <v>PORCELANATO NEGRO ALASKA</v>
          </cell>
          <cell r="F65" t="str">
            <v>60X60</v>
          </cell>
          <cell r="G65">
            <v>1.44</v>
          </cell>
          <cell r="H65">
            <v>44</v>
          </cell>
          <cell r="I65">
            <v>25.5</v>
          </cell>
          <cell r="J65" t="str">
            <v>CAJA</v>
          </cell>
        </row>
        <row r="66">
          <cell r="A66" t="str">
            <v>OG63715D</v>
          </cell>
          <cell r="B66" t="str">
            <v>JM63715D</v>
          </cell>
          <cell r="C66"/>
          <cell r="D66" t="str">
            <v>PORC</v>
          </cell>
          <cell r="E66" t="str">
            <v>PORCELANATO TRAVERTINO NEGRO</v>
          </cell>
          <cell r="F66" t="str">
            <v>60X60</v>
          </cell>
          <cell r="G66">
            <v>1.44</v>
          </cell>
          <cell r="H66">
            <v>40</v>
          </cell>
          <cell r="I66">
            <v>27</v>
          </cell>
          <cell r="J66" t="str">
            <v>CAJA</v>
          </cell>
        </row>
        <row r="67">
          <cell r="A67" t="str">
            <v>OG66011</v>
          </cell>
          <cell r="B67" t="str">
            <v>PPY66011</v>
          </cell>
          <cell r="C67"/>
          <cell r="D67" t="str">
            <v>PORC</v>
          </cell>
          <cell r="E67" t="str">
            <v>PORCELANATO CALACATA PIURA</v>
          </cell>
          <cell r="F67" t="str">
            <v>60X60</v>
          </cell>
          <cell r="G67">
            <v>1.44</v>
          </cell>
          <cell r="H67">
            <v>40</v>
          </cell>
          <cell r="I67">
            <v>29</v>
          </cell>
          <cell r="J67" t="str">
            <v>CAJA</v>
          </cell>
        </row>
        <row r="68">
          <cell r="A68" t="str">
            <v>P6675</v>
          </cell>
          <cell r="B68"/>
          <cell r="C68"/>
          <cell r="D68" t="str">
            <v>PORC</v>
          </cell>
          <cell r="E68" t="str">
            <v>PORCELANATO CALACATA ROYAL</v>
          </cell>
          <cell r="F68" t="str">
            <v>60X61</v>
          </cell>
          <cell r="G68">
            <v>1.44</v>
          </cell>
          <cell r="H68">
            <v>44</v>
          </cell>
          <cell r="I68">
            <v>27</v>
          </cell>
          <cell r="J68" t="str">
            <v>CAJA</v>
          </cell>
        </row>
        <row r="69">
          <cell r="A69" t="str">
            <v>P6676</v>
          </cell>
          <cell r="B69"/>
          <cell r="C69"/>
          <cell r="D69" t="str">
            <v>PORC</v>
          </cell>
          <cell r="E69" t="str">
            <v>PORCELANATO CALACATA IMPERIAL</v>
          </cell>
          <cell r="F69" t="str">
            <v>60X62</v>
          </cell>
          <cell r="G69">
            <v>1.44</v>
          </cell>
          <cell r="H69">
            <v>44</v>
          </cell>
          <cell r="I69">
            <v>27</v>
          </cell>
          <cell r="J69" t="str">
            <v>CAJA</v>
          </cell>
        </row>
        <row r="70">
          <cell r="A70" t="str">
            <v>CE14</v>
          </cell>
          <cell r="B70" t="str">
            <v>JM6912C73</v>
          </cell>
          <cell r="C70"/>
          <cell r="D70" t="str">
            <v>PORC</v>
          </cell>
          <cell r="E70" t="str">
            <v>PORCELANATO NEGRO MEDELLIN</v>
          </cell>
          <cell r="F70" t="str">
            <v>60X60</v>
          </cell>
          <cell r="G70">
            <v>1.44</v>
          </cell>
          <cell r="H70">
            <v>44</v>
          </cell>
          <cell r="I70">
            <v>25.5</v>
          </cell>
          <cell r="J70" t="str">
            <v>CAJA</v>
          </cell>
        </row>
        <row r="71">
          <cell r="A71" t="str">
            <v>22123-G</v>
          </cell>
          <cell r="B71"/>
          <cell r="C71"/>
          <cell r="D71" t="str">
            <v>PORC</v>
          </cell>
          <cell r="E71" t="str">
            <v>PORCELANATO MOMPOX</v>
          </cell>
          <cell r="F71" t="str">
            <v>60X60</v>
          </cell>
          <cell r="G71">
            <v>1.44</v>
          </cell>
          <cell r="H71">
            <v>40</v>
          </cell>
          <cell r="I71">
            <v>27</v>
          </cell>
          <cell r="J71" t="str">
            <v>CAJA</v>
          </cell>
        </row>
        <row r="72">
          <cell r="A72" t="str">
            <v>GB30404</v>
          </cell>
          <cell r="B72"/>
          <cell r="C72"/>
          <cell r="D72" t="str">
            <v>PORC</v>
          </cell>
          <cell r="E72" t="str">
            <v>PORCELANATO NEGRO ZAFIRO</v>
          </cell>
          <cell r="F72" t="str">
            <v>60X120</v>
          </cell>
          <cell r="G72">
            <v>1.44</v>
          </cell>
          <cell r="H72">
            <v>32</v>
          </cell>
          <cell r="I72">
            <v>25.5</v>
          </cell>
          <cell r="J72" t="str">
            <v>CAJA</v>
          </cell>
        </row>
        <row r="73">
          <cell r="A73" t="str">
            <v>GL5778</v>
          </cell>
          <cell r="B73" t="str">
            <v>GL5778</v>
          </cell>
          <cell r="C73"/>
          <cell r="D73" t="str">
            <v>PORC</v>
          </cell>
          <cell r="E73" t="str">
            <v>PORCELANATO KERALA</v>
          </cell>
          <cell r="F73" t="str">
            <v>60X120</v>
          </cell>
          <cell r="G73">
            <v>1.44</v>
          </cell>
          <cell r="H73">
            <v>32</v>
          </cell>
          <cell r="I73">
            <v>27</v>
          </cell>
          <cell r="J73" t="str">
            <v>CAJA</v>
          </cell>
        </row>
        <row r="74">
          <cell r="A74" t="str">
            <v>SH5779</v>
          </cell>
          <cell r="B74" t="str">
            <v>SH5779</v>
          </cell>
          <cell r="C74"/>
          <cell r="D74" t="str">
            <v>PORC</v>
          </cell>
          <cell r="E74" t="str">
            <v>PORCELANATO GUYARAT</v>
          </cell>
          <cell r="F74" t="str">
            <v>60X120</v>
          </cell>
          <cell r="G74">
            <v>1.44</v>
          </cell>
          <cell r="H74">
            <v>32</v>
          </cell>
          <cell r="I74">
            <v>27</v>
          </cell>
          <cell r="J74" t="str">
            <v>CAJA</v>
          </cell>
        </row>
        <row r="75">
          <cell r="A75" t="str">
            <v>GP569935</v>
          </cell>
          <cell r="B75"/>
          <cell r="C75"/>
          <cell r="D75" t="str">
            <v>PORC</v>
          </cell>
          <cell r="E75" t="str">
            <v>PORCELANATO GUYARAT</v>
          </cell>
          <cell r="F75" t="str">
            <v>60X60</v>
          </cell>
          <cell r="G75">
            <v>1.44</v>
          </cell>
          <cell r="H75">
            <v>44</v>
          </cell>
          <cell r="I75">
            <v>26.5</v>
          </cell>
          <cell r="J75" t="str">
            <v>CAJA</v>
          </cell>
        </row>
        <row r="76">
          <cell r="A76" t="str">
            <v>GP905473</v>
          </cell>
          <cell r="B76"/>
          <cell r="C76"/>
          <cell r="D76" t="str">
            <v>PORC</v>
          </cell>
          <cell r="E76" t="str">
            <v>PORCELANATO MANALI STAR</v>
          </cell>
          <cell r="F76" t="str">
            <v>60X120</v>
          </cell>
          <cell r="G76">
            <v>2.16</v>
          </cell>
          <cell r="H76">
            <v>32</v>
          </cell>
          <cell r="I76">
            <v>32</v>
          </cell>
          <cell r="J76" t="str">
            <v>CAJA</v>
          </cell>
        </row>
        <row r="77">
          <cell r="A77" t="str">
            <v>GP902658</v>
          </cell>
          <cell r="B77"/>
          <cell r="C77"/>
          <cell r="D77" t="str">
            <v>PORC</v>
          </cell>
          <cell r="E77" t="str">
            <v>PORCELANATO KAMPUR STAR</v>
          </cell>
          <cell r="F77" t="str">
            <v>60X120</v>
          </cell>
          <cell r="G77">
            <v>2.16</v>
          </cell>
          <cell r="H77">
            <v>32</v>
          </cell>
          <cell r="I77">
            <v>32</v>
          </cell>
          <cell r="J77" t="str">
            <v>CAJA</v>
          </cell>
        </row>
        <row r="78">
          <cell r="A78" t="str">
            <v>GP903451</v>
          </cell>
          <cell r="B78"/>
          <cell r="C78"/>
          <cell r="D78" t="str">
            <v>PORC</v>
          </cell>
          <cell r="E78" t="str">
            <v>PORCELANATO BOMBAY STAR</v>
          </cell>
          <cell r="F78" t="str">
            <v>60X120</v>
          </cell>
          <cell r="G78">
            <v>2.16</v>
          </cell>
          <cell r="H78">
            <v>32</v>
          </cell>
          <cell r="I78">
            <v>26.5</v>
          </cell>
          <cell r="J78" t="str">
            <v>CAJA</v>
          </cell>
        </row>
        <row r="79">
          <cell r="A79" t="str">
            <v>GP902658-A</v>
          </cell>
          <cell r="B79"/>
          <cell r="C79"/>
          <cell r="D79" t="str">
            <v>PORC</v>
          </cell>
          <cell r="E79" t="str">
            <v>PORCELANATO KAMPUR STAR</v>
          </cell>
          <cell r="F79" t="str">
            <v>60X120</v>
          </cell>
          <cell r="G79">
            <v>1.44</v>
          </cell>
          <cell r="H79">
            <v>68</v>
          </cell>
          <cell r="I79">
            <v>22.7</v>
          </cell>
          <cell r="J79" t="str">
            <v>CAJA</v>
          </cell>
        </row>
        <row r="80">
          <cell r="A80" t="str">
            <v>GP905473-A</v>
          </cell>
          <cell r="B80"/>
          <cell r="C80"/>
          <cell r="D80" t="str">
            <v>PORC</v>
          </cell>
          <cell r="E80" t="str">
            <v>PORCELANATO MANALI STAR</v>
          </cell>
          <cell r="F80" t="str">
            <v>60X120</v>
          </cell>
          <cell r="G80">
            <v>1.44</v>
          </cell>
          <cell r="H80">
            <v>68</v>
          </cell>
          <cell r="I80">
            <v>22.7</v>
          </cell>
          <cell r="J80" t="str">
            <v>CAJA</v>
          </cell>
        </row>
        <row r="81">
          <cell r="A81" t="str">
            <v>GP7061234</v>
          </cell>
          <cell r="B81"/>
          <cell r="C81"/>
          <cell r="D81" t="str">
            <v>PORC</v>
          </cell>
          <cell r="E81" t="str">
            <v>PORCELANATO CALACATTA GOLD</v>
          </cell>
          <cell r="F81" t="str">
            <v>60X120</v>
          </cell>
          <cell r="G81">
            <v>2.16</v>
          </cell>
          <cell r="H81">
            <v>32</v>
          </cell>
          <cell r="I81">
            <v>32</v>
          </cell>
          <cell r="J81" t="str">
            <v>CAJA</v>
          </cell>
        </row>
        <row r="82">
          <cell r="A82" t="str">
            <v>GP7061201</v>
          </cell>
          <cell r="B82"/>
          <cell r="C82"/>
          <cell r="D82" t="str">
            <v>PORC</v>
          </cell>
          <cell r="E82" t="str">
            <v>PORCELANATO CALCUTA GRIS</v>
          </cell>
          <cell r="F82" t="str">
            <v>60X120</v>
          </cell>
          <cell r="G82">
            <v>2.16</v>
          </cell>
          <cell r="H82">
            <v>32</v>
          </cell>
          <cell r="I82">
            <v>32</v>
          </cell>
          <cell r="J82" t="str">
            <v>CAJA</v>
          </cell>
        </row>
        <row r="83">
          <cell r="A83">
            <v>612663</v>
          </cell>
          <cell r="B83"/>
          <cell r="C83"/>
          <cell r="D83" t="str">
            <v>PORC</v>
          </cell>
          <cell r="E83" t="str">
            <v>PORCELANATO PEÑOL GOLD</v>
          </cell>
          <cell r="F83" t="str">
            <v>60X120</v>
          </cell>
          <cell r="G83">
            <v>2.16</v>
          </cell>
          <cell r="H83">
            <v>48</v>
          </cell>
          <cell r="I83">
            <v>43</v>
          </cell>
          <cell r="J83" t="str">
            <v>CAJA</v>
          </cell>
        </row>
        <row r="84">
          <cell r="A84">
            <v>617652</v>
          </cell>
          <cell r="B84"/>
          <cell r="C84"/>
          <cell r="D84" t="str">
            <v>PORC</v>
          </cell>
          <cell r="E84" t="str">
            <v>PORCELNATO NAPOLI GOLD</v>
          </cell>
          <cell r="F84" t="str">
            <v>60X120</v>
          </cell>
          <cell r="G84">
            <v>2.16</v>
          </cell>
          <cell r="H84">
            <v>48</v>
          </cell>
          <cell r="I84">
            <v>43</v>
          </cell>
          <cell r="J84" t="str">
            <v>CAJA</v>
          </cell>
        </row>
        <row r="85">
          <cell r="A85" t="str">
            <v>XYS066</v>
          </cell>
          <cell r="B85"/>
          <cell r="C85"/>
          <cell r="D85" t="str">
            <v>PORC</v>
          </cell>
          <cell r="E85" t="str">
            <v>PORCELANATO CAIRO GOLD</v>
          </cell>
          <cell r="F85" t="str">
            <v>60X120</v>
          </cell>
          <cell r="G85">
            <v>2.16</v>
          </cell>
          <cell r="H85">
            <v>48</v>
          </cell>
          <cell r="I85">
            <v>43</v>
          </cell>
          <cell r="J85" t="str">
            <v>CAJA</v>
          </cell>
        </row>
        <row r="86">
          <cell r="A86" t="str">
            <v>T63984</v>
          </cell>
          <cell r="B86"/>
          <cell r="C86"/>
          <cell r="D86" t="str">
            <v>PORC</v>
          </cell>
          <cell r="E86" t="str">
            <v>PORCELANATO MILAN GOLD</v>
          </cell>
          <cell r="F86" t="str">
            <v>60X120</v>
          </cell>
          <cell r="G86">
            <v>2.16</v>
          </cell>
          <cell r="H86">
            <v>48</v>
          </cell>
          <cell r="I86">
            <v>43</v>
          </cell>
          <cell r="J86" t="str">
            <v>CAJA</v>
          </cell>
        </row>
        <row r="87">
          <cell r="A87">
            <v>61874</v>
          </cell>
          <cell r="B87"/>
          <cell r="C87"/>
          <cell r="D87" t="str">
            <v>PORC</v>
          </cell>
          <cell r="E87" t="str">
            <v>PORCELANATO FLORENCIA GOLD</v>
          </cell>
          <cell r="F87" t="str">
            <v>60X120</v>
          </cell>
          <cell r="G87">
            <v>2.16</v>
          </cell>
          <cell r="H87">
            <v>48</v>
          </cell>
          <cell r="I87">
            <v>43</v>
          </cell>
          <cell r="J87" t="str">
            <v>CAJA</v>
          </cell>
        </row>
        <row r="88">
          <cell r="A88">
            <v>71981</v>
          </cell>
          <cell r="B88"/>
          <cell r="C88"/>
          <cell r="D88" t="str">
            <v>PORC</v>
          </cell>
          <cell r="E88" t="str">
            <v>PORCELANATO CATANIA GOLD</v>
          </cell>
          <cell r="F88" t="str">
            <v>60X120</v>
          </cell>
          <cell r="G88">
            <v>2.16</v>
          </cell>
          <cell r="H88">
            <v>48</v>
          </cell>
          <cell r="I88">
            <v>43</v>
          </cell>
          <cell r="J88" t="str">
            <v>CAJA</v>
          </cell>
        </row>
        <row r="89">
          <cell r="A89" t="str">
            <v>YMP66137G</v>
          </cell>
          <cell r="B89">
            <v>311003335</v>
          </cell>
          <cell r="C89"/>
          <cell r="D89" t="str">
            <v>PORC</v>
          </cell>
          <cell r="E89" t="str">
            <v>PORCELANATO CAIRO</v>
          </cell>
          <cell r="F89" t="str">
            <v>60X60</v>
          </cell>
          <cell r="G89">
            <v>1.44</v>
          </cell>
          <cell r="H89">
            <v>40</v>
          </cell>
          <cell r="I89">
            <v>28.5</v>
          </cell>
          <cell r="J89" t="str">
            <v>CAJA</v>
          </cell>
        </row>
        <row r="90">
          <cell r="A90" t="str">
            <v>YMP66133G</v>
          </cell>
          <cell r="B90">
            <v>160014093</v>
          </cell>
          <cell r="C90"/>
          <cell r="D90" t="str">
            <v>PORC</v>
          </cell>
          <cell r="E90" t="str">
            <v>PORCELANATO ETIOPE</v>
          </cell>
          <cell r="F90" t="str">
            <v>60X60</v>
          </cell>
          <cell r="G90">
            <v>1.44</v>
          </cell>
          <cell r="H90">
            <v>40</v>
          </cell>
          <cell r="I90">
            <v>28.5</v>
          </cell>
          <cell r="J90" t="str">
            <v>CAJA</v>
          </cell>
        </row>
        <row r="91">
          <cell r="A91" t="str">
            <v>01IT057</v>
          </cell>
          <cell r="B91"/>
          <cell r="C91"/>
          <cell r="D91" t="str">
            <v>PORC</v>
          </cell>
          <cell r="E91" t="str">
            <v xml:space="preserve">PORCELANATO MORANDI GRIS </v>
          </cell>
          <cell r="F91" t="str">
            <v>58,4 X 118,4</v>
          </cell>
          <cell r="G91">
            <v>2.0699999999999998</v>
          </cell>
          <cell r="H91">
            <v>48</v>
          </cell>
          <cell r="I91">
            <v>35</v>
          </cell>
          <cell r="J91" t="str">
            <v>CAJA</v>
          </cell>
        </row>
        <row r="92">
          <cell r="A92">
            <v>5073</v>
          </cell>
          <cell r="B92"/>
          <cell r="C92"/>
          <cell r="D92" t="str">
            <v>PORC</v>
          </cell>
          <cell r="E92" t="str">
            <v>PORCELATO ALBA</v>
          </cell>
          <cell r="F92" t="str">
            <v>60X60</v>
          </cell>
          <cell r="G92">
            <v>1.44</v>
          </cell>
          <cell r="H92">
            <v>40</v>
          </cell>
          <cell r="I92">
            <v>27</v>
          </cell>
          <cell r="J92" t="str">
            <v>CAJA</v>
          </cell>
        </row>
        <row r="93">
          <cell r="A93" t="str">
            <v>P4164</v>
          </cell>
          <cell r="B93"/>
          <cell r="C93"/>
          <cell r="D93" t="str">
            <v>PORC</v>
          </cell>
          <cell r="E93" t="str">
            <v>PORCELANATO ONIX GRIS</v>
          </cell>
          <cell r="F93" t="str">
            <v>60X60</v>
          </cell>
          <cell r="G93">
            <v>1.44</v>
          </cell>
          <cell r="H93">
            <v>40</v>
          </cell>
          <cell r="I93">
            <v>27</v>
          </cell>
          <cell r="J93" t="str">
            <v>CAJA</v>
          </cell>
        </row>
        <row r="94">
          <cell r="A94" t="str">
            <v>P4165</v>
          </cell>
          <cell r="B94"/>
          <cell r="C94"/>
          <cell r="D94" t="str">
            <v>PORC</v>
          </cell>
          <cell r="E94" t="str">
            <v>PORCELANATO ONIX BEIGE</v>
          </cell>
          <cell r="F94" t="str">
            <v>60X60</v>
          </cell>
          <cell r="G94">
            <v>1.44</v>
          </cell>
          <cell r="H94">
            <v>40</v>
          </cell>
          <cell r="I94">
            <v>27</v>
          </cell>
          <cell r="J94" t="str">
            <v>CAJA</v>
          </cell>
        </row>
        <row r="95">
          <cell r="A95" t="str">
            <v>GP566798</v>
          </cell>
          <cell r="B95"/>
          <cell r="C95"/>
          <cell r="D95" t="str">
            <v>PORC</v>
          </cell>
          <cell r="E95" t="str">
            <v>PORCELANATO HAMBURG GREY</v>
          </cell>
          <cell r="F95" t="str">
            <v>60X60</v>
          </cell>
          <cell r="G95">
            <v>1.44</v>
          </cell>
          <cell r="H95">
            <v>44</v>
          </cell>
          <cell r="I95">
            <v>23</v>
          </cell>
          <cell r="J95" t="str">
            <v>CAJA</v>
          </cell>
        </row>
        <row r="96">
          <cell r="A96" t="str">
            <v>GP569936</v>
          </cell>
          <cell r="B96"/>
          <cell r="C96"/>
          <cell r="D96" t="str">
            <v>PORC</v>
          </cell>
          <cell r="E96" t="str">
            <v>PORCELANATO OLEAN GREY</v>
          </cell>
          <cell r="F96" t="str">
            <v>60X60</v>
          </cell>
          <cell r="G96">
            <v>1.44</v>
          </cell>
          <cell r="H96">
            <v>44</v>
          </cell>
          <cell r="I96">
            <v>27</v>
          </cell>
          <cell r="J96" t="str">
            <v>CAJA</v>
          </cell>
        </row>
        <row r="97">
          <cell r="A97" t="str">
            <v>SK402341</v>
          </cell>
          <cell r="B97"/>
          <cell r="C97"/>
          <cell r="D97" t="str">
            <v>PORC</v>
          </cell>
          <cell r="E97" t="str">
            <v xml:space="preserve">PORCELANATO SINKER ALPES </v>
          </cell>
          <cell r="F97" t="str">
            <v>60X120</v>
          </cell>
          <cell r="G97">
            <v>1.44</v>
          </cell>
          <cell r="H97">
            <v>68</v>
          </cell>
          <cell r="I97">
            <v>27</v>
          </cell>
          <cell r="J97" t="str">
            <v>CAJA</v>
          </cell>
        </row>
        <row r="98">
          <cell r="A98" t="str">
            <v>SK402342</v>
          </cell>
          <cell r="B98"/>
          <cell r="C98"/>
          <cell r="D98" t="str">
            <v>PORC</v>
          </cell>
          <cell r="E98" t="str">
            <v xml:space="preserve">PORCELANATO SINKER AGRA </v>
          </cell>
          <cell r="F98" t="str">
            <v>60X120</v>
          </cell>
          <cell r="G98">
            <v>1.44</v>
          </cell>
          <cell r="H98">
            <v>68</v>
          </cell>
          <cell r="I98">
            <v>27</v>
          </cell>
          <cell r="J98" t="str">
            <v>CAJA</v>
          </cell>
        </row>
        <row r="99">
          <cell r="A99" t="str">
            <v>SK402343</v>
          </cell>
          <cell r="B99"/>
          <cell r="C99"/>
          <cell r="D99" t="str">
            <v>PORC</v>
          </cell>
          <cell r="E99" t="str">
            <v xml:space="preserve">PORCELANATO SINKER CASTILLO </v>
          </cell>
          <cell r="F99" t="str">
            <v>60X120</v>
          </cell>
          <cell r="G99">
            <v>1.44</v>
          </cell>
          <cell r="H99">
            <v>68</v>
          </cell>
          <cell r="I99">
            <v>27</v>
          </cell>
          <cell r="J99" t="str">
            <v>CAJA</v>
          </cell>
        </row>
        <row r="100">
          <cell r="A100" t="str">
            <v>SK402344</v>
          </cell>
          <cell r="B100"/>
          <cell r="C100"/>
          <cell r="D100" t="str">
            <v>PORC</v>
          </cell>
          <cell r="E100" t="str">
            <v>PORCELANATO SINKER OZUL</v>
          </cell>
          <cell r="F100" t="str">
            <v>60X120</v>
          </cell>
          <cell r="G100">
            <v>1.44</v>
          </cell>
          <cell r="H100">
            <v>68</v>
          </cell>
          <cell r="I100">
            <v>27</v>
          </cell>
          <cell r="J100" t="str">
            <v>CAJA</v>
          </cell>
        </row>
        <row r="101">
          <cell r="A101" t="str">
            <v>P6646</v>
          </cell>
          <cell r="B101"/>
          <cell r="C101"/>
          <cell r="D101" t="str">
            <v>PORC</v>
          </cell>
          <cell r="E101" t="str">
            <v>PORCELANATO VALDIVIA</v>
          </cell>
          <cell r="F101" t="str">
            <v>60X60</v>
          </cell>
          <cell r="G101">
            <v>1.44</v>
          </cell>
          <cell r="H101">
            <v>44</v>
          </cell>
          <cell r="I101">
            <v>27</v>
          </cell>
          <cell r="J101" t="str">
            <v>CAJA</v>
          </cell>
        </row>
        <row r="102">
          <cell r="A102" t="str">
            <v>P6650</v>
          </cell>
          <cell r="B102"/>
          <cell r="C102"/>
          <cell r="D102" t="str">
            <v>PORC</v>
          </cell>
          <cell r="E102" t="str">
            <v>PORCELANATO AMPARO</v>
          </cell>
          <cell r="F102" t="str">
            <v>60X60</v>
          </cell>
          <cell r="G102">
            <v>1.44</v>
          </cell>
          <cell r="H102">
            <v>44</v>
          </cell>
          <cell r="I102">
            <v>27</v>
          </cell>
          <cell r="J102" t="str">
            <v>CAJA</v>
          </cell>
        </row>
        <row r="103">
          <cell r="A103" t="str">
            <v>P61202VD</v>
          </cell>
          <cell r="B103"/>
          <cell r="C103"/>
          <cell r="D103" t="str">
            <v>PORC</v>
          </cell>
          <cell r="E103" t="str">
            <v xml:space="preserve">PORCELANATO FIORITO </v>
          </cell>
          <cell r="F103" t="str">
            <v>60X120</v>
          </cell>
          <cell r="G103">
            <v>2.16</v>
          </cell>
          <cell r="H103">
            <v>32</v>
          </cell>
          <cell r="I103">
            <v>46</v>
          </cell>
          <cell r="J103" t="str">
            <v>CAJA</v>
          </cell>
        </row>
        <row r="104">
          <cell r="A104" t="str">
            <v>P61212VD</v>
          </cell>
          <cell r="B104"/>
          <cell r="C104"/>
          <cell r="D104" t="str">
            <v>PORC</v>
          </cell>
          <cell r="E104" t="str">
            <v>PORCELANATO BLANCO ARTICO GOLD</v>
          </cell>
          <cell r="F104" t="str">
            <v>60X120</v>
          </cell>
          <cell r="G104">
            <v>2.16</v>
          </cell>
          <cell r="H104">
            <v>32</v>
          </cell>
          <cell r="I104">
            <v>46</v>
          </cell>
          <cell r="J104" t="str">
            <v>CAJA</v>
          </cell>
        </row>
        <row r="105">
          <cell r="A105" t="str">
            <v>P61205VD</v>
          </cell>
          <cell r="B105"/>
          <cell r="C105"/>
          <cell r="D105" t="str">
            <v>PORC</v>
          </cell>
          <cell r="E105" t="str">
            <v>PORCELANATO BLANCO ESTELAR</v>
          </cell>
          <cell r="F105" t="str">
            <v>60X120</v>
          </cell>
          <cell r="G105">
            <v>2.16</v>
          </cell>
          <cell r="H105">
            <v>32</v>
          </cell>
          <cell r="I105">
            <v>46</v>
          </cell>
          <cell r="J105" t="str">
            <v>CAJA</v>
          </cell>
        </row>
        <row r="106">
          <cell r="A106" t="str">
            <v>P61257</v>
          </cell>
          <cell r="B106"/>
          <cell r="C106"/>
          <cell r="D106" t="str">
            <v>PORC</v>
          </cell>
          <cell r="E106" t="str">
            <v xml:space="preserve">PORCELANATO ESTATUARIA PURO </v>
          </cell>
          <cell r="F106" t="str">
            <v>60X120</v>
          </cell>
          <cell r="G106">
            <v>2.16</v>
          </cell>
          <cell r="H106">
            <v>32</v>
          </cell>
          <cell r="I106">
            <v>46</v>
          </cell>
          <cell r="J106" t="str">
            <v>CAJA</v>
          </cell>
        </row>
        <row r="107">
          <cell r="A107" t="str">
            <v>OG66011</v>
          </cell>
          <cell r="B107">
            <v>250618</v>
          </cell>
          <cell r="C107"/>
          <cell r="D107" t="str">
            <v>PORC</v>
          </cell>
          <cell r="E107" t="str">
            <v>PORCELANATO CALACATA PIURA</v>
          </cell>
          <cell r="F107" t="str">
            <v>60X60</v>
          </cell>
          <cell r="G107">
            <v>1.44</v>
          </cell>
          <cell r="H107">
            <v>40</v>
          </cell>
          <cell r="I107">
            <v>27</v>
          </cell>
          <cell r="J107" t="str">
            <v>CAJA</v>
          </cell>
        </row>
        <row r="108">
          <cell r="A108" t="str">
            <v>PP004</v>
          </cell>
          <cell r="B108"/>
          <cell r="C108"/>
          <cell r="D108" t="str">
            <v>PORC</v>
          </cell>
          <cell r="E108" t="str">
            <v xml:space="preserve">PEGANTE PORCELANICO INPEGA </v>
          </cell>
          <cell r="F108" t="str">
            <v>25K</v>
          </cell>
          <cell r="G108">
            <v>1</v>
          </cell>
          <cell r="H108">
            <v>25</v>
          </cell>
          <cell r="I108">
            <v>25</v>
          </cell>
          <cell r="J108" t="str">
            <v>BULTO</v>
          </cell>
        </row>
        <row r="109">
          <cell r="A109" t="str">
            <v>FB036</v>
          </cell>
          <cell r="B109"/>
          <cell r="C109"/>
          <cell r="D109" t="str">
            <v>PORC</v>
          </cell>
          <cell r="E109" t="str">
            <v>FRAGUA BLANCA PROTECTOR</v>
          </cell>
          <cell r="F109" t="str">
            <v>2K</v>
          </cell>
          <cell r="G109">
            <v>1</v>
          </cell>
          <cell r="H109">
            <v>2</v>
          </cell>
          <cell r="I109">
            <v>2</v>
          </cell>
          <cell r="J109" t="str">
            <v>CAJA</v>
          </cell>
        </row>
        <row r="110">
          <cell r="A110" t="str">
            <v>FR0036</v>
          </cell>
          <cell r="B110"/>
          <cell r="C110"/>
          <cell r="D110"/>
          <cell r="E110" t="str">
            <v>FRAGUA CORONA BLANCO  /1CAJA/ 2K</v>
          </cell>
          <cell r="F110" t="str">
            <v>2K</v>
          </cell>
          <cell r="G110">
            <v>1</v>
          </cell>
          <cell r="H110">
            <v>2</v>
          </cell>
          <cell r="I110">
            <v>2</v>
          </cell>
          <cell r="J110" t="str">
            <v>CAJA</v>
          </cell>
        </row>
        <row r="111">
          <cell r="A111" t="str">
            <v>FR-2515</v>
          </cell>
          <cell r="B111"/>
          <cell r="C111"/>
          <cell r="D111" t="str">
            <v>PORC</v>
          </cell>
          <cell r="E111" t="str">
            <v>FRAGUA INPEGA COLOR GRIS</v>
          </cell>
          <cell r="F111" t="str">
            <v>2K</v>
          </cell>
          <cell r="G111">
            <v>1</v>
          </cell>
          <cell r="H111">
            <v>2</v>
          </cell>
          <cell r="I111">
            <v>2</v>
          </cell>
          <cell r="J111" t="str">
            <v>CAJA</v>
          </cell>
        </row>
        <row r="112">
          <cell r="A112">
            <v>3607</v>
          </cell>
          <cell r="B112"/>
          <cell r="C112"/>
          <cell r="D112" t="str">
            <v>PARED</v>
          </cell>
          <cell r="E112" t="str">
            <v>PARED CARRARA</v>
          </cell>
          <cell r="F112" t="str">
            <v>30X60</v>
          </cell>
          <cell r="G112">
            <v>1.8</v>
          </cell>
          <cell r="H112">
            <v>60</v>
          </cell>
          <cell r="I112">
            <v>24.5</v>
          </cell>
          <cell r="J112" t="str">
            <v>CAJA</v>
          </cell>
        </row>
        <row r="113">
          <cell r="A113" t="str">
            <v>5005A</v>
          </cell>
          <cell r="B113"/>
          <cell r="C113"/>
          <cell r="D113" t="str">
            <v>PARED</v>
          </cell>
          <cell r="E113" t="str">
            <v>PARED TARQUINA CLARA</v>
          </cell>
          <cell r="F113" t="str">
            <v>30X60</v>
          </cell>
          <cell r="G113">
            <v>1.8</v>
          </cell>
          <cell r="H113">
            <v>60</v>
          </cell>
          <cell r="I113">
            <v>24.5</v>
          </cell>
          <cell r="J113" t="str">
            <v>CAJA</v>
          </cell>
        </row>
        <row r="114">
          <cell r="A114" t="str">
            <v>5005B</v>
          </cell>
          <cell r="B114"/>
          <cell r="C114"/>
          <cell r="D114" t="str">
            <v>PARED</v>
          </cell>
          <cell r="E114" t="str">
            <v>PARED TARQUINA OSCURA</v>
          </cell>
          <cell r="F114" t="str">
            <v>30X60</v>
          </cell>
          <cell r="G114">
            <v>1.8</v>
          </cell>
          <cell r="H114">
            <v>60</v>
          </cell>
          <cell r="I114">
            <v>24.5</v>
          </cell>
          <cell r="J114" t="str">
            <v>CAJA</v>
          </cell>
        </row>
        <row r="115">
          <cell r="A115">
            <v>3600</v>
          </cell>
          <cell r="B115"/>
          <cell r="C115"/>
          <cell r="D115" t="str">
            <v>PARED</v>
          </cell>
          <cell r="E115" t="str">
            <v>PARED BLANCA PLANA</v>
          </cell>
          <cell r="F115" t="str">
            <v>30X60</v>
          </cell>
          <cell r="G115">
            <v>1.8</v>
          </cell>
          <cell r="H115">
            <v>60</v>
          </cell>
          <cell r="I115">
            <v>24.5</v>
          </cell>
          <cell r="J115" t="str">
            <v>CAJA</v>
          </cell>
        </row>
        <row r="116">
          <cell r="A116">
            <v>30612</v>
          </cell>
          <cell r="B116"/>
          <cell r="C116"/>
          <cell r="D116" t="str">
            <v>PARED</v>
          </cell>
          <cell r="E116" t="str">
            <v>PARED VENECIA BLANCA</v>
          </cell>
          <cell r="F116" t="str">
            <v>30X60</v>
          </cell>
          <cell r="G116">
            <v>1.8</v>
          </cell>
          <cell r="H116">
            <v>60</v>
          </cell>
          <cell r="I116">
            <v>24.5</v>
          </cell>
          <cell r="J116" t="str">
            <v>CAJA</v>
          </cell>
        </row>
        <row r="117">
          <cell r="A117" t="str">
            <v>3615B</v>
          </cell>
          <cell r="B117"/>
          <cell r="C117"/>
          <cell r="D117" t="str">
            <v>PARED</v>
          </cell>
          <cell r="E117" t="str">
            <v>PARED JAZPED BEIGE</v>
          </cell>
          <cell r="F117" t="str">
            <v>30X60</v>
          </cell>
          <cell r="G117">
            <v>1.8</v>
          </cell>
          <cell r="H117">
            <v>60</v>
          </cell>
          <cell r="I117">
            <v>24.5</v>
          </cell>
          <cell r="J117" t="str">
            <v>CAJA</v>
          </cell>
        </row>
        <row r="118">
          <cell r="A118" t="str">
            <v>3615G</v>
          </cell>
          <cell r="B118"/>
          <cell r="C118"/>
          <cell r="D118" t="str">
            <v>PARED</v>
          </cell>
          <cell r="E118" t="str">
            <v>PARED JAZPED GRIS</v>
          </cell>
          <cell r="F118" t="str">
            <v>30X60</v>
          </cell>
          <cell r="G118">
            <v>1.8</v>
          </cell>
          <cell r="H118">
            <v>60</v>
          </cell>
          <cell r="I118">
            <v>24.5</v>
          </cell>
          <cell r="J118" t="str">
            <v>CAJA</v>
          </cell>
        </row>
        <row r="119">
          <cell r="A119" t="str">
            <v>41492G</v>
          </cell>
          <cell r="B119"/>
          <cell r="C119"/>
          <cell r="D119" t="str">
            <v>PARED</v>
          </cell>
          <cell r="E119" t="str">
            <v>PARED JAZMIN GRIS</v>
          </cell>
          <cell r="F119" t="str">
            <v>30X60</v>
          </cell>
          <cell r="G119">
            <v>1.8</v>
          </cell>
          <cell r="H119">
            <v>60</v>
          </cell>
          <cell r="I119">
            <v>24.5</v>
          </cell>
          <cell r="J119" t="str">
            <v>CAJA</v>
          </cell>
        </row>
        <row r="120">
          <cell r="A120">
            <v>3617</v>
          </cell>
          <cell r="B120"/>
          <cell r="C120"/>
          <cell r="D120" t="str">
            <v>PARED</v>
          </cell>
          <cell r="E120" t="str">
            <v>PARED JAZMIN BLANCA</v>
          </cell>
          <cell r="F120" t="str">
            <v>30X60</v>
          </cell>
          <cell r="G120">
            <v>1.8</v>
          </cell>
          <cell r="H120">
            <v>60</v>
          </cell>
          <cell r="I120">
            <v>24.5</v>
          </cell>
          <cell r="J120" t="str">
            <v>CAJA</v>
          </cell>
        </row>
        <row r="121">
          <cell r="A121" t="str">
            <v>41492B</v>
          </cell>
          <cell r="B121"/>
          <cell r="C121"/>
          <cell r="D121" t="str">
            <v>PARED</v>
          </cell>
          <cell r="E121" t="str">
            <v>PARED JAZMIN BEIGE</v>
          </cell>
          <cell r="F121" t="str">
            <v>30X60</v>
          </cell>
          <cell r="G121">
            <v>1.8</v>
          </cell>
          <cell r="H121">
            <v>60</v>
          </cell>
          <cell r="I121">
            <v>24.5</v>
          </cell>
          <cell r="J121" t="str">
            <v>CAJA</v>
          </cell>
        </row>
        <row r="122">
          <cell r="A122" t="str">
            <v>36113A</v>
          </cell>
          <cell r="B122"/>
          <cell r="C122"/>
          <cell r="D122" t="str">
            <v>PARED</v>
          </cell>
          <cell r="E122" t="str">
            <v>PARED NUBE GRIS CLARA</v>
          </cell>
          <cell r="F122" t="str">
            <v>30X60</v>
          </cell>
          <cell r="G122">
            <v>1.8</v>
          </cell>
          <cell r="H122">
            <v>60</v>
          </cell>
          <cell r="I122">
            <v>24.5</v>
          </cell>
          <cell r="J122" t="str">
            <v>CAJA</v>
          </cell>
        </row>
        <row r="123">
          <cell r="A123" t="str">
            <v>36113B</v>
          </cell>
          <cell r="B123"/>
          <cell r="C123"/>
          <cell r="D123" t="str">
            <v>PARED</v>
          </cell>
          <cell r="E123" t="str">
            <v>PARED NUBE GRIS OSCURA</v>
          </cell>
          <cell r="F123" t="str">
            <v>30X60</v>
          </cell>
          <cell r="G123">
            <v>1.8</v>
          </cell>
          <cell r="H123">
            <v>60</v>
          </cell>
          <cell r="I123">
            <v>24.5</v>
          </cell>
          <cell r="J123" t="str">
            <v>CAJA</v>
          </cell>
        </row>
        <row r="124">
          <cell r="A124">
            <v>30611</v>
          </cell>
          <cell r="B124"/>
          <cell r="C124"/>
          <cell r="D124" t="str">
            <v>PARED</v>
          </cell>
          <cell r="E124" t="str">
            <v>PARED GRIS PERLADA</v>
          </cell>
          <cell r="F124" t="str">
            <v>30X60</v>
          </cell>
          <cell r="G124">
            <v>1.8</v>
          </cell>
          <cell r="H124">
            <v>60</v>
          </cell>
          <cell r="I124">
            <v>24.5</v>
          </cell>
          <cell r="J124" t="str">
            <v>CAJA</v>
          </cell>
        </row>
        <row r="125">
          <cell r="A125">
            <v>30610</v>
          </cell>
          <cell r="B125"/>
          <cell r="C125"/>
          <cell r="D125" t="str">
            <v>PARED</v>
          </cell>
          <cell r="E125" t="str">
            <v>PARED CRISTAL</v>
          </cell>
          <cell r="F125" t="str">
            <v>30X60</v>
          </cell>
          <cell r="G125">
            <v>1.8</v>
          </cell>
          <cell r="H125">
            <v>60</v>
          </cell>
          <cell r="I125">
            <v>24.5</v>
          </cell>
          <cell r="J125" t="str">
            <v>CAJA</v>
          </cell>
        </row>
        <row r="126">
          <cell r="A126" t="str">
            <v>LLG36045</v>
          </cell>
          <cell r="B126" t="str">
            <v>LLG36045</v>
          </cell>
          <cell r="C126"/>
          <cell r="D126" t="str">
            <v>PARED</v>
          </cell>
          <cell r="E126" t="str">
            <v>PARED RIOJA</v>
          </cell>
          <cell r="F126" t="str">
            <v>30X60</v>
          </cell>
          <cell r="G126">
            <v>1.62</v>
          </cell>
          <cell r="H126">
            <v>60</v>
          </cell>
          <cell r="I126">
            <v>24.5</v>
          </cell>
          <cell r="J126" t="str">
            <v>CAJA</v>
          </cell>
        </row>
        <row r="127">
          <cell r="A127" t="str">
            <v>LLG36040</v>
          </cell>
          <cell r="B127" t="str">
            <v>LLG36040</v>
          </cell>
          <cell r="C127"/>
          <cell r="D127" t="str">
            <v>PARED</v>
          </cell>
          <cell r="E127" t="str">
            <v>PARED BARRANCA GOLD</v>
          </cell>
          <cell r="F127" t="str">
            <v>30X60</v>
          </cell>
          <cell r="G127">
            <v>1.62</v>
          </cell>
          <cell r="H127">
            <v>60</v>
          </cell>
          <cell r="I127">
            <v>24.5</v>
          </cell>
          <cell r="J127" t="str">
            <v>CAJA</v>
          </cell>
        </row>
        <row r="128">
          <cell r="A128" t="str">
            <v>W3641</v>
          </cell>
          <cell r="B128" t="str">
            <v>W3641</v>
          </cell>
          <cell r="C128"/>
          <cell r="D128" t="str">
            <v>PARED</v>
          </cell>
          <cell r="E128" t="str">
            <v>PARED CAJAMARCA</v>
          </cell>
          <cell r="F128" t="str">
            <v>30X60</v>
          </cell>
          <cell r="G128">
            <v>1.62</v>
          </cell>
          <cell r="H128">
            <v>60</v>
          </cell>
          <cell r="I128">
            <v>24.5</v>
          </cell>
          <cell r="J128" t="str">
            <v>CAJA</v>
          </cell>
        </row>
        <row r="129">
          <cell r="A129" t="str">
            <v>W3642</v>
          </cell>
          <cell r="B129" t="str">
            <v>W3642</v>
          </cell>
          <cell r="C129"/>
          <cell r="D129" t="str">
            <v>PARED</v>
          </cell>
          <cell r="E129" t="str">
            <v>PARED AYACUCHO</v>
          </cell>
          <cell r="F129" t="str">
            <v>30X60</v>
          </cell>
          <cell r="G129">
            <v>1.62</v>
          </cell>
          <cell r="H129">
            <v>60</v>
          </cell>
          <cell r="I129">
            <v>24.5</v>
          </cell>
          <cell r="J129" t="str">
            <v>CAJA</v>
          </cell>
        </row>
        <row r="130">
          <cell r="A130" t="str">
            <v>DW3608</v>
          </cell>
          <cell r="B130" t="str">
            <v>DW3608</v>
          </cell>
          <cell r="C130"/>
          <cell r="D130" t="str">
            <v>PARED</v>
          </cell>
          <cell r="E130" t="str">
            <v>PARED ACARÍ</v>
          </cell>
          <cell r="F130" t="str">
            <v>30X60</v>
          </cell>
          <cell r="G130">
            <v>1.62</v>
          </cell>
          <cell r="H130">
            <v>60</v>
          </cell>
          <cell r="I130">
            <v>24.5</v>
          </cell>
          <cell r="J130" t="str">
            <v>CAJA</v>
          </cell>
        </row>
        <row r="131">
          <cell r="A131" t="str">
            <v>DW36015</v>
          </cell>
          <cell r="B131" t="str">
            <v>DW36015</v>
          </cell>
          <cell r="C131"/>
          <cell r="D131" t="str">
            <v>PARED</v>
          </cell>
          <cell r="E131" t="str">
            <v>PARED MORONA TRAVERTINO</v>
          </cell>
          <cell r="F131" t="str">
            <v>30X60</v>
          </cell>
          <cell r="G131">
            <v>1.62</v>
          </cell>
          <cell r="H131">
            <v>60</v>
          </cell>
          <cell r="I131">
            <v>24.5</v>
          </cell>
          <cell r="J131" t="str">
            <v>CAJA</v>
          </cell>
        </row>
        <row r="132">
          <cell r="A132" t="str">
            <v>LYG63012AL</v>
          </cell>
          <cell r="B132" t="str">
            <v>LYG63012AL</v>
          </cell>
          <cell r="C132"/>
          <cell r="D132" t="str">
            <v>PARED</v>
          </cell>
          <cell r="E132" t="str">
            <v>PARED CALLAO GRIS CLARO</v>
          </cell>
          <cell r="F132" t="str">
            <v>30X60</v>
          </cell>
          <cell r="G132">
            <v>1.62</v>
          </cell>
          <cell r="H132">
            <v>60</v>
          </cell>
          <cell r="I132">
            <v>24.5</v>
          </cell>
          <cell r="J132" t="str">
            <v>CAJA</v>
          </cell>
        </row>
        <row r="133">
          <cell r="A133" t="str">
            <v>DLYG63012BL</v>
          </cell>
          <cell r="B133" t="str">
            <v>DLYG63012BL</v>
          </cell>
          <cell r="C133"/>
          <cell r="D133" t="str">
            <v>PARED</v>
          </cell>
          <cell r="E133" t="str">
            <v>PARED CALLAO GRIS OSCURO</v>
          </cell>
          <cell r="F133" t="str">
            <v>30X60</v>
          </cell>
          <cell r="G133">
            <v>1.62</v>
          </cell>
          <cell r="H133">
            <v>60</v>
          </cell>
          <cell r="I133">
            <v>24.5</v>
          </cell>
          <cell r="J133" t="str">
            <v>CAJA</v>
          </cell>
        </row>
        <row r="134">
          <cell r="A134" t="str">
            <v>DLLG36030A</v>
          </cell>
          <cell r="B134" t="str">
            <v>DLLG36030A</v>
          </cell>
          <cell r="C134"/>
          <cell r="D134" t="str">
            <v>PARED</v>
          </cell>
          <cell r="E134" t="str">
            <v>PARED SALINAS BEIGE</v>
          </cell>
          <cell r="F134" t="str">
            <v>30X60</v>
          </cell>
          <cell r="G134">
            <v>1.62</v>
          </cell>
          <cell r="H134">
            <v>60</v>
          </cell>
          <cell r="I134">
            <v>24.5</v>
          </cell>
          <cell r="J134" t="str">
            <v>CAJA</v>
          </cell>
        </row>
        <row r="135">
          <cell r="A135" t="str">
            <v>LLG36001</v>
          </cell>
          <cell r="B135" t="str">
            <v>LLG36001</v>
          </cell>
          <cell r="C135"/>
          <cell r="D135" t="str">
            <v>PARED</v>
          </cell>
          <cell r="E135" t="str">
            <v>PARED BLANCA PLANA PERÚ</v>
          </cell>
          <cell r="F135" t="str">
            <v>30X60</v>
          </cell>
          <cell r="G135">
            <v>1.62</v>
          </cell>
          <cell r="H135">
            <v>60</v>
          </cell>
          <cell r="I135">
            <v>24.5</v>
          </cell>
          <cell r="J135" t="str">
            <v>CAJA</v>
          </cell>
        </row>
        <row r="136">
          <cell r="A136" t="str">
            <v>DW36013B</v>
          </cell>
          <cell r="B136" t="str">
            <v>DW36013B</v>
          </cell>
          <cell r="C136"/>
          <cell r="D136" t="str">
            <v>PARED</v>
          </cell>
          <cell r="E136" t="str">
            <v>PARED ICA GRIS</v>
          </cell>
          <cell r="F136" t="str">
            <v>30X60</v>
          </cell>
          <cell r="G136">
            <v>1.62</v>
          </cell>
          <cell r="H136">
            <v>60</v>
          </cell>
          <cell r="I136">
            <v>24.5</v>
          </cell>
          <cell r="J136" t="str">
            <v>CAJA</v>
          </cell>
        </row>
        <row r="137">
          <cell r="A137" t="str">
            <v>BHCOM002</v>
          </cell>
          <cell r="B137" t="str">
            <v>BHCOM002</v>
          </cell>
          <cell r="C137"/>
          <cell r="D137" t="str">
            <v>PARED</v>
          </cell>
          <cell r="E137" t="str">
            <v>PARED GUADALUPE</v>
          </cell>
          <cell r="F137" t="str">
            <v>30X60</v>
          </cell>
          <cell r="G137">
            <v>1.62</v>
          </cell>
          <cell r="H137">
            <v>60</v>
          </cell>
          <cell r="I137">
            <v>24.5</v>
          </cell>
          <cell r="J137" t="str">
            <v>CAJA</v>
          </cell>
        </row>
        <row r="138">
          <cell r="A138" t="str">
            <v>CR255636</v>
          </cell>
          <cell r="B138" t="str">
            <v>CR255636</v>
          </cell>
          <cell r="C138" t="str">
            <v>CR255636</v>
          </cell>
          <cell r="D138" t="str">
            <v>PARED</v>
          </cell>
          <cell r="E138" t="str">
            <v>PARED PUNE BLANCO GOLD</v>
          </cell>
          <cell r="F138" t="str">
            <v>30X60</v>
          </cell>
          <cell r="G138">
            <v>0.9</v>
          </cell>
          <cell r="H138">
            <v>96</v>
          </cell>
          <cell r="I138">
            <v>13</v>
          </cell>
          <cell r="J138" t="str">
            <v>CAJA</v>
          </cell>
        </row>
        <row r="139">
          <cell r="A139" t="str">
            <v>CR323666</v>
          </cell>
          <cell r="B139" t="str">
            <v>CR323666</v>
          </cell>
          <cell r="C139" t="str">
            <v>CR323666</v>
          </cell>
          <cell r="D139" t="str">
            <v>PARED</v>
          </cell>
          <cell r="E139" t="str">
            <v>PARED MANALI STAR</v>
          </cell>
          <cell r="F139" t="str">
            <v>30X60</v>
          </cell>
          <cell r="G139">
            <v>0.9</v>
          </cell>
          <cell r="H139">
            <v>96</v>
          </cell>
          <cell r="I139">
            <v>13</v>
          </cell>
          <cell r="J139" t="str">
            <v>CAJA</v>
          </cell>
        </row>
        <row r="140">
          <cell r="A140" t="str">
            <v>CR366858</v>
          </cell>
          <cell r="B140" t="str">
            <v>CR366858</v>
          </cell>
          <cell r="C140" t="str">
            <v>CR366858</v>
          </cell>
          <cell r="D140" t="str">
            <v>PARED</v>
          </cell>
          <cell r="E140" t="str">
            <v>PARED KASHEMIR GOLD</v>
          </cell>
          <cell r="F140" t="str">
            <v>30X60</v>
          </cell>
          <cell r="G140">
            <v>0.9</v>
          </cell>
          <cell r="H140">
            <v>96</v>
          </cell>
          <cell r="I140">
            <v>13</v>
          </cell>
          <cell r="J140" t="str">
            <v>CAJA</v>
          </cell>
        </row>
        <row r="141">
          <cell r="A141" t="str">
            <v>CR643259</v>
          </cell>
          <cell r="B141" t="str">
            <v>CR643259</v>
          </cell>
          <cell r="C141" t="str">
            <v>CR643259</v>
          </cell>
          <cell r="D141" t="str">
            <v>PARED</v>
          </cell>
          <cell r="E141" t="str">
            <v>PARED KAMPUR STAR</v>
          </cell>
          <cell r="F141" t="str">
            <v>30X60</v>
          </cell>
          <cell r="G141">
            <v>0.9</v>
          </cell>
          <cell r="H141">
            <v>96</v>
          </cell>
          <cell r="I141">
            <v>13</v>
          </cell>
          <cell r="J141" t="str">
            <v>CAJA</v>
          </cell>
        </row>
        <row r="142">
          <cell r="A142" t="str">
            <v>CR787523</v>
          </cell>
          <cell r="B142" t="str">
            <v>CR787523</v>
          </cell>
          <cell r="C142" t="str">
            <v>CR787523</v>
          </cell>
          <cell r="D142" t="str">
            <v>PARED</v>
          </cell>
          <cell r="E142" t="str">
            <v>PARED BOMBAY STAR</v>
          </cell>
          <cell r="F142" t="str">
            <v>30X60</v>
          </cell>
          <cell r="G142">
            <v>0.9</v>
          </cell>
          <cell r="H142">
            <v>96</v>
          </cell>
          <cell r="I142">
            <v>13</v>
          </cell>
          <cell r="J142" t="str">
            <v>CAJA</v>
          </cell>
        </row>
        <row r="143">
          <cell r="A143" t="str">
            <v>W3662</v>
          </cell>
          <cell r="B143" t="str">
            <v>MH-CP258C</v>
          </cell>
          <cell r="C143"/>
          <cell r="D143" t="str">
            <v>PARED</v>
          </cell>
          <cell r="E143" t="str">
            <v>PARED BILBAO</v>
          </cell>
          <cell r="F143" t="str">
            <v>30X60</v>
          </cell>
          <cell r="G143">
            <v>1.8</v>
          </cell>
          <cell r="H143">
            <v>60</v>
          </cell>
          <cell r="I143">
            <v>24.5</v>
          </cell>
          <cell r="J143" t="str">
            <v>CAJA</v>
          </cell>
        </row>
        <row r="144">
          <cell r="A144" t="str">
            <v>W3648</v>
          </cell>
          <cell r="B144" t="str">
            <v>MHCP080C</v>
          </cell>
          <cell r="C144"/>
          <cell r="D144" t="str">
            <v>PARED</v>
          </cell>
          <cell r="E144" t="str">
            <v>PARED BURGOS</v>
          </cell>
          <cell r="F144" t="str">
            <v>30X60</v>
          </cell>
          <cell r="G144">
            <v>1.8</v>
          </cell>
          <cell r="H144">
            <v>60</v>
          </cell>
          <cell r="I144">
            <v>24.5</v>
          </cell>
          <cell r="J144" t="str">
            <v>CAJA</v>
          </cell>
        </row>
        <row r="145">
          <cell r="A145" t="str">
            <v>W3657</v>
          </cell>
          <cell r="B145" t="str">
            <v>MHCP120C</v>
          </cell>
          <cell r="C145"/>
          <cell r="D145" t="str">
            <v>PARED</v>
          </cell>
          <cell r="E145" t="str">
            <v>PARED TOLEDO</v>
          </cell>
          <cell r="F145" t="str">
            <v>30X60</v>
          </cell>
          <cell r="G145">
            <v>1.8</v>
          </cell>
          <cell r="H145">
            <v>60</v>
          </cell>
          <cell r="I145">
            <v>24.5</v>
          </cell>
          <cell r="J145" t="str">
            <v>CAJA</v>
          </cell>
        </row>
        <row r="146">
          <cell r="A146" t="str">
            <v>W3665</v>
          </cell>
          <cell r="B146" t="str">
            <v>MH-CP262</v>
          </cell>
          <cell r="C146"/>
          <cell r="D146" t="str">
            <v>PARED</v>
          </cell>
          <cell r="E146" t="str">
            <v>PARED MURCIA</v>
          </cell>
          <cell r="F146" t="str">
            <v>30X60</v>
          </cell>
          <cell r="G146">
            <v>1.8</v>
          </cell>
          <cell r="H146">
            <v>60</v>
          </cell>
          <cell r="I146">
            <v>24.5</v>
          </cell>
          <cell r="J146" t="str">
            <v>CAJA</v>
          </cell>
        </row>
        <row r="147">
          <cell r="A147" t="str">
            <v>W3664</v>
          </cell>
          <cell r="B147" t="str">
            <v>MH-CP260</v>
          </cell>
          <cell r="C147"/>
          <cell r="D147" t="str">
            <v>PARED</v>
          </cell>
          <cell r="E147" t="str">
            <v>PARED SEGOVIA</v>
          </cell>
          <cell r="F147" t="str">
            <v>30X60</v>
          </cell>
          <cell r="G147">
            <v>1.8</v>
          </cell>
          <cell r="H147">
            <v>60</v>
          </cell>
          <cell r="I147">
            <v>24.5</v>
          </cell>
          <cell r="J147" t="str">
            <v>CAJA</v>
          </cell>
        </row>
        <row r="148">
          <cell r="A148" t="str">
            <v>W3669</v>
          </cell>
          <cell r="B148" t="str">
            <v>MH-CP277</v>
          </cell>
          <cell r="C148"/>
          <cell r="D148" t="str">
            <v>PARED</v>
          </cell>
          <cell r="E148" t="str">
            <v>PARED LUGO</v>
          </cell>
          <cell r="F148" t="str">
            <v>30X60</v>
          </cell>
          <cell r="G148">
            <v>1.8</v>
          </cell>
          <cell r="H148">
            <v>60</v>
          </cell>
          <cell r="I148">
            <v>24.5</v>
          </cell>
          <cell r="J148" t="str">
            <v>CAJA</v>
          </cell>
        </row>
        <row r="149">
          <cell r="A149" t="str">
            <v>W3671</v>
          </cell>
          <cell r="B149" t="str">
            <v>MH-CP301</v>
          </cell>
          <cell r="C149"/>
          <cell r="D149" t="str">
            <v>PARED</v>
          </cell>
          <cell r="E149" t="str">
            <v>PARED GIRONA</v>
          </cell>
          <cell r="F149" t="str">
            <v>30X60</v>
          </cell>
          <cell r="G149">
            <v>1.8</v>
          </cell>
          <cell r="H149">
            <v>60</v>
          </cell>
          <cell r="I149">
            <v>24.5</v>
          </cell>
          <cell r="J149" t="str">
            <v>CAJA</v>
          </cell>
        </row>
        <row r="150">
          <cell r="A150" t="str">
            <v>W3652</v>
          </cell>
          <cell r="B150" t="str">
            <v>CY62474</v>
          </cell>
          <cell r="C150"/>
          <cell r="D150" t="str">
            <v>PARED</v>
          </cell>
          <cell r="E150" t="str">
            <v>PARED ZAMORA</v>
          </cell>
          <cell r="F150" t="str">
            <v>30X60</v>
          </cell>
          <cell r="G150">
            <v>1.8</v>
          </cell>
          <cell r="H150">
            <v>60</v>
          </cell>
          <cell r="I150">
            <v>24.5</v>
          </cell>
          <cell r="J150" t="str">
            <v>CAJA</v>
          </cell>
        </row>
        <row r="151">
          <cell r="A151" t="str">
            <v>W3655</v>
          </cell>
          <cell r="B151"/>
          <cell r="C151"/>
          <cell r="D151" t="str">
            <v>PARED</v>
          </cell>
          <cell r="E151" t="str">
            <v>PARED PAMPLONA</v>
          </cell>
          <cell r="F151" t="str">
            <v>30X60</v>
          </cell>
          <cell r="G151">
            <v>1.8</v>
          </cell>
          <cell r="H151">
            <v>60</v>
          </cell>
          <cell r="I151">
            <v>24.5</v>
          </cell>
          <cell r="J151" t="str">
            <v>CAJA</v>
          </cell>
        </row>
        <row r="152">
          <cell r="A152" t="str">
            <v>CR799656</v>
          </cell>
          <cell r="B152" t="str">
            <v>CR799656</v>
          </cell>
          <cell r="C152" t="str">
            <v>CR799656</v>
          </cell>
          <cell r="D152" t="str">
            <v>PARED</v>
          </cell>
          <cell r="E152" t="str">
            <v>PARED BANGALORE GOLD</v>
          </cell>
          <cell r="F152" t="str">
            <v>30X60</v>
          </cell>
          <cell r="G152">
            <v>0.9</v>
          </cell>
          <cell r="H152">
            <v>96</v>
          </cell>
          <cell r="I152">
            <v>13</v>
          </cell>
          <cell r="J152" t="str">
            <v>CAJA</v>
          </cell>
        </row>
        <row r="153">
          <cell r="A153">
            <v>25387</v>
          </cell>
          <cell r="B153" t="str">
            <v>MOMPOX</v>
          </cell>
          <cell r="C153"/>
          <cell r="D153" t="str">
            <v>PARED</v>
          </cell>
          <cell r="E153" t="str">
            <v>PARED CORUÑA</v>
          </cell>
          <cell r="F153" t="str">
            <v>40X80</v>
          </cell>
          <cell r="G153">
            <v>1.92</v>
          </cell>
          <cell r="H153">
            <v>48</v>
          </cell>
          <cell r="I153">
            <v>28</v>
          </cell>
          <cell r="J153" t="str">
            <v>CAJA</v>
          </cell>
        </row>
        <row r="154">
          <cell r="A154">
            <v>2504091</v>
          </cell>
          <cell r="B154" t="str">
            <v>MOMPOX</v>
          </cell>
          <cell r="C154"/>
          <cell r="D154" t="str">
            <v>PARED</v>
          </cell>
          <cell r="E154" t="str">
            <v>PARED ALBACETE</v>
          </cell>
          <cell r="F154" t="str">
            <v>40X80</v>
          </cell>
          <cell r="G154">
            <v>1.92</v>
          </cell>
          <cell r="H154">
            <v>48</v>
          </cell>
          <cell r="I154">
            <v>28</v>
          </cell>
          <cell r="J154" t="str">
            <v>CAJA</v>
          </cell>
        </row>
        <row r="155">
          <cell r="A155">
            <v>253187</v>
          </cell>
          <cell r="B155" t="str">
            <v>MOMPOX</v>
          </cell>
          <cell r="C155"/>
          <cell r="D155" t="str">
            <v>PARED</v>
          </cell>
          <cell r="E155" t="str">
            <v>PARED OVIEDO</v>
          </cell>
          <cell r="F155" t="str">
            <v>40X80</v>
          </cell>
          <cell r="G155">
            <v>1.92</v>
          </cell>
          <cell r="H155">
            <v>48</v>
          </cell>
          <cell r="I155">
            <v>28</v>
          </cell>
          <cell r="J155" t="str">
            <v>CAJA</v>
          </cell>
        </row>
        <row r="156">
          <cell r="A156">
            <v>572001</v>
          </cell>
          <cell r="B156" t="str">
            <v>MOMPOX</v>
          </cell>
          <cell r="C156"/>
          <cell r="D156" t="str">
            <v>PARED</v>
          </cell>
          <cell r="E156" t="str">
            <v>PARED GRANADA</v>
          </cell>
          <cell r="F156" t="str">
            <v>40X80</v>
          </cell>
          <cell r="G156">
            <v>1.92</v>
          </cell>
          <cell r="H156">
            <v>48</v>
          </cell>
          <cell r="I156">
            <v>28</v>
          </cell>
          <cell r="J156" t="str">
            <v>CAJA</v>
          </cell>
        </row>
        <row r="157">
          <cell r="A157">
            <v>2531311</v>
          </cell>
          <cell r="B157" t="str">
            <v>MOMPOX</v>
          </cell>
          <cell r="C157"/>
          <cell r="D157" t="str">
            <v>PARED</v>
          </cell>
          <cell r="E157" t="str">
            <v>PARED CERAMICA MURCIA</v>
          </cell>
          <cell r="F157" t="str">
            <v>40X80</v>
          </cell>
          <cell r="G157">
            <v>1.92</v>
          </cell>
          <cell r="H157">
            <v>48</v>
          </cell>
          <cell r="I157">
            <v>28</v>
          </cell>
          <cell r="J157" t="str">
            <v>CAJA</v>
          </cell>
        </row>
        <row r="158">
          <cell r="A158">
            <v>253185</v>
          </cell>
          <cell r="B158" t="str">
            <v>MOMPOX</v>
          </cell>
          <cell r="C158"/>
          <cell r="D158" t="str">
            <v>PARED</v>
          </cell>
          <cell r="E158" t="str">
            <v>PARED NIZA</v>
          </cell>
          <cell r="F158" t="str">
            <v>40X80</v>
          </cell>
          <cell r="G158">
            <v>1.92</v>
          </cell>
          <cell r="H158">
            <v>48</v>
          </cell>
          <cell r="I158">
            <v>28</v>
          </cell>
          <cell r="J158" t="str">
            <v>CAJA</v>
          </cell>
        </row>
        <row r="159">
          <cell r="A159" t="str">
            <v>2503073A</v>
          </cell>
          <cell r="B159" t="str">
            <v>MOMPOX</v>
          </cell>
          <cell r="C159"/>
          <cell r="D159" t="str">
            <v>PARED</v>
          </cell>
          <cell r="E159" t="str">
            <v>PARED TOULOUSE GRIS OSCURA</v>
          </cell>
          <cell r="F159" t="str">
            <v>40X80</v>
          </cell>
          <cell r="G159">
            <v>1.92</v>
          </cell>
          <cell r="H159">
            <v>48</v>
          </cell>
          <cell r="I159">
            <v>28</v>
          </cell>
          <cell r="J159" t="str">
            <v>CAJA</v>
          </cell>
        </row>
        <row r="160">
          <cell r="A160" t="str">
            <v>2503073B</v>
          </cell>
          <cell r="B160" t="str">
            <v>MOMPOX</v>
          </cell>
          <cell r="C160"/>
          <cell r="D160" t="str">
            <v>PARED</v>
          </cell>
          <cell r="E160" t="str">
            <v>PARED TOULOUSE CLARA</v>
          </cell>
          <cell r="F160" t="str">
            <v>40X80</v>
          </cell>
          <cell r="G160">
            <v>1.92</v>
          </cell>
          <cell r="H160">
            <v>48</v>
          </cell>
          <cell r="I160">
            <v>28</v>
          </cell>
          <cell r="J160" t="str">
            <v>CAJA</v>
          </cell>
        </row>
        <row r="161">
          <cell r="A161" t="str">
            <v>OM0070</v>
          </cell>
          <cell r="B161"/>
          <cell r="C161"/>
          <cell r="D161" t="str">
            <v>FACHADA</v>
          </cell>
          <cell r="E161" t="str">
            <v>FACHADA FLORIDA (OMICRON 7)</v>
          </cell>
          <cell r="F161" t="str">
            <v>31X56</v>
          </cell>
          <cell r="G161">
            <v>1.39</v>
          </cell>
          <cell r="H161">
            <v>60</v>
          </cell>
          <cell r="I161">
            <v>21</v>
          </cell>
          <cell r="J161" t="str">
            <v>CAJA</v>
          </cell>
        </row>
        <row r="162">
          <cell r="A162" t="str">
            <v>OM0030</v>
          </cell>
          <cell r="B162"/>
          <cell r="C162"/>
          <cell r="D162" t="str">
            <v>FACHADA</v>
          </cell>
          <cell r="E162" t="str">
            <v>FACHADA NATURA (OMICRON 3)</v>
          </cell>
          <cell r="F162" t="str">
            <v>31X56</v>
          </cell>
          <cell r="G162">
            <v>1.39</v>
          </cell>
          <cell r="H162">
            <v>60</v>
          </cell>
          <cell r="I162">
            <v>21</v>
          </cell>
          <cell r="J162" t="str">
            <v>CAJA</v>
          </cell>
        </row>
        <row r="163">
          <cell r="A163" t="str">
            <v>OM0020</v>
          </cell>
          <cell r="B163"/>
          <cell r="C163"/>
          <cell r="D163" t="str">
            <v>FACHADA</v>
          </cell>
          <cell r="E163" t="str">
            <v>FACHADA ROYAL  (OMICRON 2)</v>
          </cell>
          <cell r="F163" t="str">
            <v>31X56</v>
          </cell>
          <cell r="G163">
            <v>1.39</v>
          </cell>
          <cell r="H163">
            <v>60</v>
          </cell>
          <cell r="I163">
            <v>21</v>
          </cell>
          <cell r="J163" t="str">
            <v>CAJA</v>
          </cell>
        </row>
        <row r="164">
          <cell r="A164" t="str">
            <v>OM0014</v>
          </cell>
          <cell r="B164"/>
          <cell r="C164"/>
          <cell r="D164" t="str">
            <v>FACHADA</v>
          </cell>
          <cell r="E164" t="str">
            <v>FACHADA CANDELARIA (OMICRON 14)</v>
          </cell>
          <cell r="F164" t="str">
            <v>31X56</v>
          </cell>
          <cell r="G164">
            <v>1.39</v>
          </cell>
          <cell r="H164">
            <v>60</v>
          </cell>
          <cell r="I164">
            <v>21</v>
          </cell>
          <cell r="J164" t="str">
            <v>CAJA</v>
          </cell>
        </row>
        <row r="165">
          <cell r="A165" t="str">
            <v>AM0080</v>
          </cell>
          <cell r="B165"/>
          <cell r="C165"/>
          <cell r="D165" t="str">
            <v>FACHADA</v>
          </cell>
          <cell r="E165" t="str">
            <v>FACHADA AMAZONAS (AMAZONE 08)</v>
          </cell>
          <cell r="F165" t="str">
            <v>31X56</v>
          </cell>
          <cell r="G165">
            <v>1.39</v>
          </cell>
          <cell r="H165">
            <v>60</v>
          </cell>
          <cell r="I165">
            <v>21</v>
          </cell>
          <cell r="J165" t="str">
            <v>CAJA</v>
          </cell>
        </row>
        <row r="166">
          <cell r="A166" t="str">
            <v>OM0016</v>
          </cell>
          <cell r="B166"/>
          <cell r="C166"/>
          <cell r="D166" t="str">
            <v>FACHADA</v>
          </cell>
          <cell r="E166" t="str">
            <v>FACHADA BRAZILIA (OMICRON 16)</v>
          </cell>
          <cell r="F166" t="str">
            <v>31X56</v>
          </cell>
          <cell r="G166">
            <v>1.39</v>
          </cell>
          <cell r="H166">
            <v>60</v>
          </cell>
          <cell r="I166">
            <v>21</v>
          </cell>
          <cell r="J166" t="str">
            <v>CAJA</v>
          </cell>
        </row>
        <row r="167">
          <cell r="A167" t="str">
            <v>OM0090</v>
          </cell>
          <cell r="B167"/>
          <cell r="C167"/>
          <cell r="D167" t="str">
            <v>FACHADA</v>
          </cell>
          <cell r="E167" t="str">
            <v>FACHADA GRAFITO (OMICRON 9)</v>
          </cell>
          <cell r="F167" t="str">
            <v>31X56</v>
          </cell>
          <cell r="G167">
            <v>1.39</v>
          </cell>
          <cell r="H167">
            <v>60</v>
          </cell>
          <cell r="I167">
            <v>21</v>
          </cell>
          <cell r="J167" t="str">
            <v>CAJA</v>
          </cell>
        </row>
        <row r="168">
          <cell r="A168" t="str">
            <v>OM0040</v>
          </cell>
          <cell r="B168"/>
          <cell r="C168"/>
          <cell r="D168" t="str">
            <v>FACHADA</v>
          </cell>
          <cell r="E168" t="str">
            <v>FACHADA ARIZONA (OMICRON 4)</v>
          </cell>
          <cell r="F168" t="str">
            <v>31X56</v>
          </cell>
          <cell r="G168">
            <v>1.39</v>
          </cell>
          <cell r="H168">
            <v>60</v>
          </cell>
          <cell r="I168">
            <v>21</v>
          </cell>
          <cell r="J168" t="str">
            <v>CAJA</v>
          </cell>
        </row>
        <row r="169">
          <cell r="A169" t="str">
            <v>BO30451</v>
          </cell>
          <cell r="B169" t="str">
            <v>BO30451</v>
          </cell>
          <cell r="C169"/>
          <cell r="D169" t="str">
            <v>FACHADA</v>
          </cell>
          <cell r="E169" t="str">
            <v>FACHADA ASUNCION</v>
          </cell>
          <cell r="F169" t="str">
            <v>30X45</v>
          </cell>
          <cell r="G169">
            <v>1.64</v>
          </cell>
          <cell r="H169">
            <v>46</v>
          </cell>
          <cell r="I169">
            <v>25.5</v>
          </cell>
          <cell r="J169" t="str">
            <v>CAJA</v>
          </cell>
        </row>
        <row r="170">
          <cell r="A170" t="str">
            <v>BO30452</v>
          </cell>
          <cell r="B170" t="str">
            <v>BO30452</v>
          </cell>
          <cell r="C170"/>
          <cell r="D170" t="str">
            <v>FACHADA</v>
          </cell>
          <cell r="E170" t="str">
            <v>FACHADA LOURDES</v>
          </cell>
          <cell r="F170" t="str">
            <v>30X45</v>
          </cell>
          <cell r="G170">
            <v>1.64</v>
          </cell>
          <cell r="H170">
            <v>46</v>
          </cell>
          <cell r="I170">
            <v>25.5</v>
          </cell>
          <cell r="J170" t="str">
            <v>CAJA</v>
          </cell>
        </row>
        <row r="171">
          <cell r="A171" t="str">
            <v>BO30453</v>
          </cell>
          <cell r="B171" t="str">
            <v>BO30453</v>
          </cell>
          <cell r="C171"/>
          <cell r="D171" t="str">
            <v>FACHADA</v>
          </cell>
          <cell r="E171" t="str">
            <v xml:space="preserve">FACHADA CANDELARIA </v>
          </cell>
          <cell r="F171" t="str">
            <v>30X45</v>
          </cell>
          <cell r="G171">
            <v>1.64</v>
          </cell>
          <cell r="H171">
            <v>46</v>
          </cell>
          <cell r="I171">
            <v>25.5</v>
          </cell>
          <cell r="J171" t="str">
            <v>CAJA</v>
          </cell>
        </row>
        <row r="172">
          <cell r="A172" t="str">
            <v>BO30454</v>
          </cell>
          <cell r="B172" t="str">
            <v>BO30454</v>
          </cell>
          <cell r="C172"/>
          <cell r="D172" t="str">
            <v>FACHADA</v>
          </cell>
          <cell r="E172" t="str">
            <v>FACHADA ROSARIO</v>
          </cell>
          <cell r="F172" t="str">
            <v>30X45</v>
          </cell>
          <cell r="G172">
            <v>1.64</v>
          </cell>
          <cell r="H172">
            <v>46</v>
          </cell>
          <cell r="I172">
            <v>25.5</v>
          </cell>
          <cell r="J172" t="str">
            <v>CAJA</v>
          </cell>
        </row>
        <row r="173">
          <cell r="A173" t="str">
            <v>BO30455</v>
          </cell>
          <cell r="B173" t="str">
            <v>BO30455</v>
          </cell>
          <cell r="C173"/>
          <cell r="D173" t="str">
            <v>FACHADA</v>
          </cell>
          <cell r="E173" t="str">
            <v>FACHADA LA BELLA</v>
          </cell>
          <cell r="F173" t="str">
            <v>30X45</v>
          </cell>
          <cell r="G173">
            <v>1.64</v>
          </cell>
          <cell r="H173">
            <v>46</v>
          </cell>
          <cell r="I173">
            <v>25.5</v>
          </cell>
          <cell r="J173" t="str">
            <v>CAJA</v>
          </cell>
        </row>
        <row r="174">
          <cell r="A174" t="str">
            <v>BO30456</v>
          </cell>
          <cell r="B174" t="str">
            <v>BO30456</v>
          </cell>
          <cell r="C174"/>
          <cell r="D174" t="str">
            <v>FACHADA</v>
          </cell>
          <cell r="E174" t="str">
            <v>FACHADA AMPARO</v>
          </cell>
          <cell r="F174" t="str">
            <v>30X45</v>
          </cell>
          <cell r="G174">
            <v>1.64</v>
          </cell>
          <cell r="H174">
            <v>46</v>
          </cell>
          <cell r="I174">
            <v>25.5</v>
          </cell>
          <cell r="J174" t="str">
            <v>CAJA</v>
          </cell>
        </row>
        <row r="175">
          <cell r="A175" t="str">
            <v>BLJ-8835</v>
          </cell>
          <cell r="B175"/>
          <cell r="C175"/>
          <cell r="D175" t="str">
            <v>BAÑO</v>
          </cell>
          <cell r="E175" t="str">
            <v>REJILLA CELDAS ANTIOLOR NEGRA AC304</v>
          </cell>
          <cell r="F175" t="str">
            <v>10*10</v>
          </cell>
          <cell r="G175">
            <v>1</v>
          </cell>
          <cell r="H175">
            <v>1</v>
          </cell>
          <cell r="I175">
            <v>0.5</v>
          </cell>
          <cell r="J175" t="str">
            <v>PC</v>
          </cell>
        </row>
        <row r="176">
          <cell r="A176" t="str">
            <v>BLJ-8833</v>
          </cell>
          <cell r="B176"/>
          <cell r="C176"/>
          <cell r="D176" t="str">
            <v>BAÑO</v>
          </cell>
          <cell r="E176" t="str">
            <v>REJILLA CELDAS ANTIOLORDORADA AC304</v>
          </cell>
          <cell r="F176" t="str">
            <v>10*10</v>
          </cell>
          <cell r="G176">
            <v>1</v>
          </cell>
          <cell r="H176">
            <v>1</v>
          </cell>
          <cell r="I176">
            <v>0.5</v>
          </cell>
          <cell r="J176" t="str">
            <v>PC</v>
          </cell>
        </row>
        <row r="177">
          <cell r="A177" t="str">
            <v>BLJ-8758</v>
          </cell>
          <cell r="B177"/>
          <cell r="C177"/>
          <cell r="D177" t="str">
            <v>BAÑO</v>
          </cell>
          <cell r="E177" t="str">
            <v>REJILLA CELDAS ANTIOLOR  PLATA AC304</v>
          </cell>
          <cell r="F177" t="str">
            <v>10*10</v>
          </cell>
          <cell r="G177">
            <v>1</v>
          </cell>
          <cell r="H177">
            <v>1</v>
          </cell>
          <cell r="I177">
            <v>0.5</v>
          </cell>
          <cell r="J177" t="str">
            <v>PC</v>
          </cell>
        </row>
        <row r="178">
          <cell r="A178" t="str">
            <v>BLJ-8866</v>
          </cell>
          <cell r="B178"/>
          <cell r="C178"/>
          <cell r="D178" t="str">
            <v>BAÑO</v>
          </cell>
          <cell r="E178" t="str">
            <v>REJILLA CELDAS BORDE ANTIOLOR  PLATA AC304</v>
          </cell>
          <cell r="F178" t="str">
            <v>10*10</v>
          </cell>
          <cell r="G178">
            <v>1</v>
          </cell>
          <cell r="H178">
            <v>1</v>
          </cell>
          <cell r="I178">
            <v>0.5</v>
          </cell>
          <cell r="J178" t="str">
            <v>PC</v>
          </cell>
        </row>
        <row r="179">
          <cell r="A179" t="str">
            <v>BLJ-8867</v>
          </cell>
          <cell r="B179"/>
          <cell r="C179"/>
          <cell r="D179" t="str">
            <v>BAÑO</v>
          </cell>
          <cell r="E179" t="str">
            <v>REJILLA CELDAS BORDE ANTIOLOR  DORADA AC304</v>
          </cell>
          <cell r="F179" t="str">
            <v>10*10</v>
          </cell>
          <cell r="G179">
            <v>1</v>
          </cell>
          <cell r="H179">
            <v>1</v>
          </cell>
          <cell r="I179">
            <v>0.5</v>
          </cell>
          <cell r="J179" t="str">
            <v>PC</v>
          </cell>
        </row>
        <row r="180">
          <cell r="A180" t="str">
            <v>BLJ-8868</v>
          </cell>
          <cell r="B180"/>
          <cell r="C180"/>
          <cell r="D180" t="str">
            <v>BAÑO</v>
          </cell>
          <cell r="E180" t="str">
            <v>REJILLA CELDASBORDE ANTIOLOR  NEGRA AC304</v>
          </cell>
          <cell r="F180" t="str">
            <v>10*10</v>
          </cell>
          <cell r="G180">
            <v>1</v>
          </cell>
          <cell r="H180">
            <v>1</v>
          </cell>
          <cell r="I180">
            <v>0.5</v>
          </cell>
          <cell r="J180" t="str">
            <v>PC</v>
          </cell>
        </row>
        <row r="181">
          <cell r="A181" t="str">
            <v>BLJ-8781</v>
          </cell>
          <cell r="B181"/>
          <cell r="C181"/>
          <cell r="D181" t="str">
            <v>BAÑO</v>
          </cell>
          <cell r="E181" t="str">
            <v>REJILLA CELDAS ANTIOLOR  NEGRA AC304</v>
          </cell>
          <cell r="F181" t="str">
            <v>20*8</v>
          </cell>
          <cell r="G181">
            <v>1</v>
          </cell>
          <cell r="H181">
            <v>1</v>
          </cell>
          <cell r="I181">
            <v>0.5</v>
          </cell>
          <cell r="J181" t="str">
            <v>PC</v>
          </cell>
        </row>
        <row r="182">
          <cell r="A182" t="str">
            <v>BLJ-8782</v>
          </cell>
          <cell r="B182"/>
          <cell r="C182"/>
          <cell r="D182" t="str">
            <v>BAÑO</v>
          </cell>
          <cell r="E182" t="str">
            <v>REJILLA CELDAS ANTIOLOR  DORADA AC304</v>
          </cell>
          <cell r="F182" t="str">
            <v>20*8</v>
          </cell>
          <cell r="G182">
            <v>1</v>
          </cell>
          <cell r="H182">
            <v>1</v>
          </cell>
          <cell r="I182">
            <v>0.5</v>
          </cell>
          <cell r="J182" t="str">
            <v>PC</v>
          </cell>
        </row>
        <row r="183">
          <cell r="A183" t="str">
            <v>BLJ-8780</v>
          </cell>
          <cell r="B183"/>
          <cell r="C183"/>
          <cell r="D183" t="str">
            <v>BAÑO</v>
          </cell>
          <cell r="E183" t="str">
            <v>REJILLA CELDAS ANTIOLOR  PLATA AC304</v>
          </cell>
          <cell r="F183" t="str">
            <v>20*8</v>
          </cell>
          <cell r="G183">
            <v>1</v>
          </cell>
          <cell r="H183">
            <v>1</v>
          </cell>
          <cell r="I183">
            <v>0.5</v>
          </cell>
          <cell r="J183" t="str">
            <v>PC</v>
          </cell>
        </row>
        <row r="184">
          <cell r="A184" t="str">
            <v>BLJ-8804</v>
          </cell>
          <cell r="B184"/>
          <cell r="C184"/>
          <cell r="D184" t="str">
            <v>BAÑO</v>
          </cell>
          <cell r="E184" t="str">
            <v>REJILLA CELDAS RAYO ANTIOLOR  DORADA AC304</v>
          </cell>
          <cell r="F184" t="str">
            <v>10*10</v>
          </cell>
          <cell r="G184">
            <v>1</v>
          </cell>
          <cell r="H184">
            <v>1</v>
          </cell>
          <cell r="I184">
            <v>0.5</v>
          </cell>
          <cell r="J184" t="str">
            <v>PC</v>
          </cell>
        </row>
        <row r="185">
          <cell r="A185" t="str">
            <v>BLJ-8805</v>
          </cell>
          <cell r="B185"/>
          <cell r="C185"/>
          <cell r="D185" t="str">
            <v>BAÑO</v>
          </cell>
          <cell r="E185" t="str">
            <v>REJILLA CELDAS RAYO ANTIOLOR  NEGRA AC304</v>
          </cell>
          <cell r="F185" t="str">
            <v>10*10</v>
          </cell>
          <cell r="G185">
            <v>1</v>
          </cell>
          <cell r="H185">
            <v>1</v>
          </cell>
          <cell r="I185">
            <v>0.5</v>
          </cell>
          <cell r="J185" t="str">
            <v>PC</v>
          </cell>
        </row>
        <row r="186">
          <cell r="A186" t="str">
            <v>BLJ-8806</v>
          </cell>
          <cell r="B186"/>
          <cell r="C186"/>
          <cell r="D186" t="str">
            <v>BAÑO</v>
          </cell>
          <cell r="E186" t="str">
            <v>REJILLA CELDAS RAYO ANTIOLOR  PLATA AC304</v>
          </cell>
          <cell r="F186" t="str">
            <v>10*10</v>
          </cell>
          <cell r="G186">
            <v>1</v>
          </cell>
          <cell r="H186">
            <v>1</v>
          </cell>
          <cell r="I186">
            <v>0.5</v>
          </cell>
          <cell r="J186" t="str">
            <v>PC</v>
          </cell>
        </row>
        <row r="187">
          <cell r="A187" t="str">
            <v>BLJ-8873</v>
          </cell>
          <cell r="B187"/>
          <cell r="C187"/>
          <cell r="D187" t="str">
            <v>BAÑO</v>
          </cell>
          <cell r="E187" t="str">
            <v>REJILLA CELDAS LINEAL ANTIOLOR  DORADA AC304</v>
          </cell>
          <cell r="F187" t="str">
            <v>10*10</v>
          </cell>
          <cell r="G187">
            <v>1</v>
          </cell>
          <cell r="H187">
            <v>1</v>
          </cell>
          <cell r="I187">
            <v>0.5</v>
          </cell>
          <cell r="J187" t="str">
            <v>PC</v>
          </cell>
        </row>
        <row r="188">
          <cell r="A188" t="str">
            <v>BLJ-8874</v>
          </cell>
          <cell r="B188"/>
          <cell r="C188"/>
          <cell r="D188" t="str">
            <v>BAÑO</v>
          </cell>
          <cell r="E188" t="str">
            <v>REJILLA CELDAS LINEAL ANTIOLOR  NEGRA AC304</v>
          </cell>
          <cell r="F188" t="str">
            <v>10*10</v>
          </cell>
          <cell r="G188">
            <v>1</v>
          </cell>
          <cell r="H188">
            <v>1</v>
          </cell>
          <cell r="I188">
            <v>0.5</v>
          </cell>
          <cell r="J188" t="str">
            <v>PC</v>
          </cell>
        </row>
        <row r="189">
          <cell r="A189" t="str">
            <v>BLJ-8875</v>
          </cell>
          <cell r="B189"/>
          <cell r="C189"/>
          <cell r="D189" t="str">
            <v>BAÑO</v>
          </cell>
          <cell r="E189" t="str">
            <v>REJILLA CELDAS LINEAL ANTIOLOR  PLATA AC304</v>
          </cell>
          <cell r="F189" t="str">
            <v>10*10</v>
          </cell>
          <cell r="G189">
            <v>1</v>
          </cell>
          <cell r="H189">
            <v>1</v>
          </cell>
          <cell r="I189">
            <v>0.5</v>
          </cell>
          <cell r="J189" t="str">
            <v>PC</v>
          </cell>
        </row>
        <row r="190">
          <cell r="A190" t="str">
            <v>BLJ-8851</v>
          </cell>
          <cell r="B190"/>
          <cell r="C190"/>
          <cell r="D190" t="str">
            <v>BAÑO</v>
          </cell>
          <cell r="E190" t="str">
            <v>REJILLA INVISIBLE CUADRADA  DORADA AC304</v>
          </cell>
          <cell r="F190" t="str">
            <v>10*10</v>
          </cell>
          <cell r="G190">
            <v>1</v>
          </cell>
          <cell r="H190">
            <v>1</v>
          </cell>
          <cell r="I190">
            <v>0.5</v>
          </cell>
          <cell r="J190" t="str">
            <v>PC</v>
          </cell>
        </row>
        <row r="191">
          <cell r="A191" t="str">
            <v>BLJ-8852</v>
          </cell>
          <cell r="B191"/>
          <cell r="C191"/>
          <cell r="D191" t="str">
            <v>BAÑO</v>
          </cell>
          <cell r="E191" t="str">
            <v>REJILLA INVISIBLE CUADRADA  PLATA AC304</v>
          </cell>
          <cell r="F191" t="str">
            <v>10*10</v>
          </cell>
          <cell r="G191">
            <v>1</v>
          </cell>
          <cell r="H191">
            <v>1</v>
          </cell>
          <cell r="I191">
            <v>0.5</v>
          </cell>
          <cell r="J191" t="str">
            <v>PC</v>
          </cell>
        </row>
        <row r="192">
          <cell r="A192" t="str">
            <v>BLJ-8853</v>
          </cell>
          <cell r="B192"/>
          <cell r="C192"/>
          <cell r="D192" t="str">
            <v>BAÑO</v>
          </cell>
          <cell r="E192" t="str">
            <v>REJILLA INVISIBLE CUADRADA  NEGRA AC304</v>
          </cell>
          <cell r="F192" t="str">
            <v>10*10</v>
          </cell>
          <cell r="G192">
            <v>1</v>
          </cell>
          <cell r="H192">
            <v>1</v>
          </cell>
          <cell r="I192">
            <v>0.5</v>
          </cell>
          <cell r="J192" t="str">
            <v>PC</v>
          </cell>
        </row>
        <row r="193">
          <cell r="A193" t="str">
            <v>BLJ-8849</v>
          </cell>
          <cell r="B193"/>
          <cell r="C193"/>
          <cell r="D193" t="str">
            <v>BAÑO</v>
          </cell>
          <cell r="E193" t="str">
            <v>REJILLA INVISIBLE REDONDA  DORADA AC304</v>
          </cell>
          <cell r="F193" t="str">
            <v>10*10</v>
          </cell>
          <cell r="G193">
            <v>1</v>
          </cell>
          <cell r="H193">
            <v>1</v>
          </cell>
          <cell r="I193">
            <v>0.5</v>
          </cell>
          <cell r="J193" t="str">
            <v>PC</v>
          </cell>
        </row>
        <row r="194">
          <cell r="A194" t="str">
            <v>BLJ-8850</v>
          </cell>
          <cell r="B194"/>
          <cell r="C194"/>
          <cell r="D194" t="str">
            <v>BAÑO</v>
          </cell>
          <cell r="E194" t="str">
            <v>REJILLA INVISIBLE REDONDA  PLATA AC304</v>
          </cell>
          <cell r="F194" t="str">
            <v>10*10</v>
          </cell>
          <cell r="G194">
            <v>1</v>
          </cell>
          <cell r="H194">
            <v>1</v>
          </cell>
          <cell r="I194">
            <v>0.5</v>
          </cell>
          <cell r="J194" t="str">
            <v>PC</v>
          </cell>
        </row>
        <row r="195">
          <cell r="A195" t="str">
            <v>BLJ-8848</v>
          </cell>
          <cell r="B195"/>
          <cell r="C195"/>
          <cell r="D195" t="str">
            <v>BAÑO</v>
          </cell>
          <cell r="E195" t="str">
            <v>REJILLA INVISIBLE REDONDA  NEGRA AC304</v>
          </cell>
          <cell r="F195" t="str">
            <v>10*10</v>
          </cell>
          <cell r="G195">
            <v>1</v>
          </cell>
          <cell r="H195">
            <v>1</v>
          </cell>
          <cell r="I195">
            <v>0.5</v>
          </cell>
          <cell r="J195" t="str">
            <v>PC</v>
          </cell>
        </row>
        <row r="196">
          <cell r="A196" t="str">
            <v>BLJ-9001</v>
          </cell>
          <cell r="B196"/>
          <cell r="C196"/>
          <cell r="D196" t="str">
            <v>BAÑO</v>
          </cell>
          <cell r="E196" t="str">
            <v>REJILLA SIFON RECTANGULAR  ACERO INOXIDABLE</v>
          </cell>
          <cell r="F196" t="str">
            <v>30*10</v>
          </cell>
          <cell r="G196">
            <v>1</v>
          </cell>
          <cell r="H196">
            <v>1</v>
          </cell>
          <cell r="I196">
            <v>0.5</v>
          </cell>
          <cell r="J196" t="str">
            <v>PC</v>
          </cell>
        </row>
        <row r="197">
          <cell r="A197" t="str">
            <v>BLJ-9002</v>
          </cell>
          <cell r="B197"/>
          <cell r="C197"/>
          <cell r="D197" t="str">
            <v>BAÑO</v>
          </cell>
          <cell r="E197" t="str">
            <v>REJILLA SIFON RECTANGULAR  ACERO INOXIDABLE</v>
          </cell>
          <cell r="F197" t="str">
            <v>20*10</v>
          </cell>
          <cell r="G197">
            <v>1</v>
          </cell>
          <cell r="H197">
            <v>1</v>
          </cell>
          <cell r="I197">
            <v>0.5</v>
          </cell>
          <cell r="J197" t="str">
            <v>PC</v>
          </cell>
        </row>
        <row r="198">
          <cell r="A198" t="str">
            <v>BLJ-9004</v>
          </cell>
          <cell r="B198"/>
          <cell r="C198"/>
          <cell r="D198" t="str">
            <v>BAÑO</v>
          </cell>
          <cell r="E198" t="str">
            <v>REJILLA INVISIBLE RECTANGULAR  ACERO INOXIDABLE</v>
          </cell>
          <cell r="F198" t="str">
            <v>20*10</v>
          </cell>
          <cell r="G198">
            <v>1</v>
          </cell>
          <cell r="H198">
            <v>1</v>
          </cell>
          <cell r="I198">
            <v>0.5</v>
          </cell>
          <cell r="J198" t="str">
            <v>PC</v>
          </cell>
        </row>
        <row r="199">
          <cell r="A199" t="str">
            <v>BLJ-9003</v>
          </cell>
          <cell r="B199"/>
          <cell r="C199"/>
          <cell r="D199" t="str">
            <v>BAÑO</v>
          </cell>
          <cell r="E199" t="str">
            <v>REJILLA INVISIBLE RECTANGULAR  ACERO INOXIDABLE</v>
          </cell>
          <cell r="F199" t="str">
            <v>30*10</v>
          </cell>
          <cell r="G199">
            <v>1</v>
          </cell>
          <cell r="H199">
            <v>1</v>
          </cell>
          <cell r="I199">
            <v>0.5</v>
          </cell>
          <cell r="J199" t="str">
            <v>PC</v>
          </cell>
        </row>
        <row r="200">
          <cell r="A200" t="str">
            <v>AC-304</v>
          </cell>
          <cell r="B200"/>
          <cell r="C200"/>
          <cell r="D200" t="str">
            <v>BAÑO</v>
          </cell>
          <cell r="E200" t="str">
            <v>REJILLA DORADA 20 X10</v>
          </cell>
          <cell r="F200" t="str">
            <v>20*10</v>
          </cell>
          <cell r="G200">
            <v>1</v>
          </cell>
          <cell r="H200">
            <v>1</v>
          </cell>
          <cell r="I200">
            <v>0.5</v>
          </cell>
          <cell r="J200" t="str">
            <v>PC</v>
          </cell>
        </row>
        <row r="201">
          <cell r="A201" t="str">
            <v>1006B</v>
          </cell>
          <cell r="B201"/>
          <cell r="C201"/>
          <cell r="D201" t="str">
            <v>BAÑO</v>
          </cell>
          <cell r="E201" t="str">
            <v>GRIFERIA CASCADA ALTA NEGRA</v>
          </cell>
          <cell r="F201" t="str">
            <v>1 PC</v>
          </cell>
          <cell r="G201">
            <v>1</v>
          </cell>
          <cell r="H201" t="str">
            <v>-</v>
          </cell>
          <cell r="I201" t="str">
            <v>-</v>
          </cell>
          <cell r="J201" t="str">
            <v>PC</v>
          </cell>
        </row>
        <row r="202">
          <cell r="A202" t="str">
            <v>1907B</v>
          </cell>
          <cell r="B202"/>
          <cell r="C202"/>
          <cell r="D202" t="str">
            <v>BAÑO</v>
          </cell>
          <cell r="E202" t="str">
            <v>GRIFERIA MONOCONTROL COCINA NEGRA</v>
          </cell>
          <cell r="F202" t="str">
            <v>1 PC</v>
          </cell>
          <cell r="G202">
            <v>1</v>
          </cell>
          <cell r="H202" t="str">
            <v>-</v>
          </cell>
          <cell r="I202" t="str">
            <v>-</v>
          </cell>
          <cell r="J202" t="str">
            <v>PC</v>
          </cell>
        </row>
        <row r="203">
          <cell r="A203" t="str">
            <v>K318G</v>
          </cell>
          <cell r="B203"/>
          <cell r="C203"/>
          <cell r="D203" t="str">
            <v>BAÑO</v>
          </cell>
          <cell r="E203" t="str">
            <v>ESPEJO 60X80 LED CUAD BORDE PL</v>
          </cell>
          <cell r="F203">
            <v>1</v>
          </cell>
          <cell r="G203">
            <v>1</v>
          </cell>
          <cell r="H203">
            <v>1</v>
          </cell>
          <cell r="I203">
            <v>1</v>
          </cell>
          <cell r="J203" t="str">
            <v>PC</v>
          </cell>
        </row>
        <row r="204">
          <cell r="A204" t="str">
            <v>K319G</v>
          </cell>
          <cell r="B204"/>
          <cell r="C204"/>
          <cell r="D204" t="str">
            <v>BAÑO</v>
          </cell>
          <cell r="E204" t="str">
            <v>ESPEJO 60X80 LED RD BORDE PLAT</v>
          </cell>
          <cell r="F204">
            <v>1</v>
          </cell>
          <cell r="G204">
            <v>1</v>
          </cell>
          <cell r="H204">
            <v>1</v>
          </cell>
          <cell r="I204">
            <v>1</v>
          </cell>
          <cell r="J204" t="str">
            <v>PC</v>
          </cell>
        </row>
        <row r="205">
          <cell r="A205" t="str">
            <v>T3201</v>
          </cell>
          <cell r="B205"/>
          <cell r="C205"/>
          <cell r="D205" t="str">
            <v>BAÑO</v>
          </cell>
          <cell r="E205" t="str">
            <v>ESPEJO LED 60X80</v>
          </cell>
          <cell r="F205">
            <v>3</v>
          </cell>
          <cell r="G205">
            <v>1</v>
          </cell>
          <cell r="H205">
            <v>1</v>
          </cell>
          <cell r="I205">
            <v>1</v>
          </cell>
          <cell r="J205" t="str">
            <v>PC</v>
          </cell>
        </row>
        <row r="206">
          <cell r="A206" t="str">
            <v>ET-37</v>
          </cell>
          <cell r="B206" t="str">
            <v>ET-37</v>
          </cell>
          <cell r="C206"/>
          <cell r="D206" t="str">
            <v>BAÑO</v>
          </cell>
          <cell r="E206" t="str">
            <v>ESPEJO LED ANTI EMPAÑANTE OVALADO 70*50 CM</v>
          </cell>
          <cell r="F206">
            <v>1</v>
          </cell>
          <cell r="G206">
            <v>1</v>
          </cell>
          <cell r="H206">
            <v>1</v>
          </cell>
          <cell r="I206">
            <v>1</v>
          </cell>
          <cell r="J206" t="str">
            <v>PC</v>
          </cell>
        </row>
        <row r="207">
          <cell r="A207" t="str">
            <v>ET-38</v>
          </cell>
          <cell r="B207" t="str">
            <v>ET-38</v>
          </cell>
          <cell r="C207"/>
          <cell r="D207" t="str">
            <v>BAÑO</v>
          </cell>
          <cell r="E207" t="str">
            <v>ESPEJO LED -1 ANTI EMPAÑANTE REDONDO 70 CM</v>
          </cell>
          <cell r="F207">
            <v>1</v>
          </cell>
          <cell r="G207">
            <v>1</v>
          </cell>
          <cell r="H207">
            <v>1</v>
          </cell>
          <cell r="I207">
            <v>1</v>
          </cell>
          <cell r="J207" t="str">
            <v>PC</v>
          </cell>
        </row>
        <row r="208">
          <cell r="A208" t="str">
            <v>ET-39</v>
          </cell>
          <cell r="B208" t="str">
            <v>ET-39</v>
          </cell>
          <cell r="C208"/>
          <cell r="D208" t="str">
            <v>BAÑO</v>
          </cell>
          <cell r="E208" t="str">
            <v>ESPEJO LED -2 ANTI EMPAÑANTE REDONDO 70 CM</v>
          </cell>
          <cell r="F208">
            <v>1</v>
          </cell>
          <cell r="G208">
            <v>1</v>
          </cell>
          <cell r="H208">
            <v>1</v>
          </cell>
          <cell r="I208">
            <v>1</v>
          </cell>
          <cell r="J208" t="str">
            <v>PC</v>
          </cell>
        </row>
        <row r="209">
          <cell r="A209" t="str">
            <v>ET-40</v>
          </cell>
          <cell r="B209" t="str">
            <v>ET-40</v>
          </cell>
          <cell r="C209"/>
          <cell r="D209" t="str">
            <v>BAÑO</v>
          </cell>
          <cell r="E209" t="str">
            <v>ESPEJO LED -3 ANTI EMPAÑANTE REDONDO 70 CM</v>
          </cell>
          <cell r="F209">
            <v>1</v>
          </cell>
          <cell r="G209">
            <v>1</v>
          </cell>
          <cell r="H209">
            <v>1</v>
          </cell>
          <cell r="I209">
            <v>1</v>
          </cell>
          <cell r="J209" t="str">
            <v>PC</v>
          </cell>
        </row>
        <row r="210">
          <cell r="A210" t="str">
            <v>ET-41</v>
          </cell>
          <cell r="B210" t="str">
            <v>ET-41</v>
          </cell>
          <cell r="C210"/>
          <cell r="D210" t="str">
            <v>BAÑO</v>
          </cell>
          <cell r="E210" t="str">
            <v>ESPEJO LED ANTI EMPAÑANTE RECTANGULAR 80*50 CM</v>
          </cell>
          <cell r="F210">
            <v>1</v>
          </cell>
          <cell r="G210">
            <v>1</v>
          </cell>
          <cell r="H210">
            <v>1</v>
          </cell>
          <cell r="I210">
            <v>1</v>
          </cell>
          <cell r="J210" t="str">
            <v>PC</v>
          </cell>
        </row>
        <row r="211">
          <cell r="A211" t="str">
            <v>ET-42</v>
          </cell>
          <cell r="B211" t="str">
            <v>ET-42</v>
          </cell>
          <cell r="C211"/>
          <cell r="D211" t="str">
            <v>BAÑO</v>
          </cell>
          <cell r="E211" t="str">
            <v>ESPEJO LED ANTI EMPAÑANTE RECTANGULAR 70*50 CM</v>
          </cell>
          <cell r="F211">
            <v>1</v>
          </cell>
          <cell r="G211">
            <v>1</v>
          </cell>
          <cell r="H211">
            <v>1</v>
          </cell>
          <cell r="I211">
            <v>1</v>
          </cell>
          <cell r="J211" t="str">
            <v>PC</v>
          </cell>
        </row>
        <row r="212">
          <cell r="A212" t="str">
            <v>ET-881</v>
          </cell>
          <cell r="B212"/>
          <cell r="C212"/>
          <cell r="D212" t="str">
            <v>BAÑO</v>
          </cell>
          <cell r="E212" t="str">
            <v xml:space="preserve">SANITARIO SMART </v>
          </cell>
          <cell r="F212" t="str">
            <v>ONE PIECE</v>
          </cell>
          <cell r="G212">
            <v>1</v>
          </cell>
          <cell r="H212">
            <v>4</v>
          </cell>
          <cell r="I212">
            <v>52</v>
          </cell>
          <cell r="J212" t="str">
            <v>PC</v>
          </cell>
        </row>
        <row r="213">
          <cell r="A213" t="str">
            <v>ET-2019</v>
          </cell>
          <cell r="B213"/>
          <cell r="C213"/>
          <cell r="D213" t="str">
            <v>BAÑO</v>
          </cell>
          <cell r="E213" t="str">
            <v>SANITARIO ECÓNO BLANCO</v>
          </cell>
          <cell r="F213" t="str">
            <v>ONE PIECE</v>
          </cell>
          <cell r="G213">
            <v>1</v>
          </cell>
          <cell r="H213">
            <v>8</v>
          </cell>
          <cell r="I213">
            <v>45</v>
          </cell>
          <cell r="J213" t="str">
            <v>PC</v>
          </cell>
        </row>
        <row r="214">
          <cell r="A214" t="str">
            <v>ET-2070</v>
          </cell>
          <cell r="B214"/>
          <cell r="C214"/>
          <cell r="D214" t="str">
            <v>BAÑO</v>
          </cell>
          <cell r="E214" t="str">
            <v>SANITARIO DELUXE 3D BLANCO</v>
          </cell>
          <cell r="F214" t="str">
            <v>ONE PIECE</v>
          </cell>
          <cell r="G214">
            <v>1</v>
          </cell>
          <cell r="H214">
            <v>8</v>
          </cell>
          <cell r="I214">
            <v>59</v>
          </cell>
          <cell r="J214" t="str">
            <v>PC</v>
          </cell>
        </row>
        <row r="215">
          <cell r="A215" t="str">
            <v>ET-2070-GOLD</v>
          </cell>
          <cell r="B215"/>
          <cell r="C215"/>
          <cell r="D215" t="str">
            <v>BAÑO</v>
          </cell>
          <cell r="E215" t="str">
            <v>SANITARIO DELUXE 3D ORO BLANCO</v>
          </cell>
          <cell r="F215" t="str">
            <v>ONE PIECE</v>
          </cell>
          <cell r="G215">
            <v>1</v>
          </cell>
          <cell r="H215">
            <v>8</v>
          </cell>
          <cell r="I215">
            <v>59</v>
          </cell>
          <cell r="J215" t="str">
            <v>PC</v>
          </cell>
        </row>
        <row r="216">
          <cell r="A216" t="str">
            <v>ET-2070-PINK/GOLD</v>
          </cell>
          <cell r="B216"/>
          <cell r="C216"/>
          <cell r="D216" t="str">
            <v>BAÑO</v>
          </cell>
          <cell r="E216" t="str">
            <v>SANITARIO DELUXE 3D ORO ROSA BLANCO</v>
          </cell>
          <cell r="F216" t="str">
            <v>ONE PIECE</v>
          </cell>
          <cell r="G216">
            <v>1</v>
          </cell>
          <cell r="H216">
            <v>8</v>
          </cell>
          <cell r="I216">
            <v>59</v>
          </cell>
          <cell r="J216" t="str">
            <v>PC</v>
          </cell>
        </row>
        <row r="217">
          <cell r="A217" t="str">
            <v>ET-2090</v>
          </cell>
          <cell r="B217"/>
          <cell r="C217"/>
          <cell r="D217" t="str">
            <v>BAÑO</v>
          </cell>
          <cell r="E217" t="str">
            <v>SANITARIO BRUMA BLANCO CARRARA</v>
          </cell>
          <cell r="F217" t="str">
            <v>ONE PIECE</v>
          </cell>
          <cell r="G217">
            <v>1</v>
          </cell>
          <cell r="H217">
            <v>8</v>
          </cell>
          <cell r="I217">
            <v>59</v>
          </cell>
          <cell r="J217" t="str">
            <v>PC</v>
          </cell>
        </row>
        <row r="218">
          <cell r="A218" t="str">
            <v>ET-2090A</v>
          </cell>
          <cell r="B218" t="str">
            <v>ET-2090</v>
          </cell>
          <cell r="C218"/>
          <cell r="D218" t="str">
            <v>BAÑO</v>
          </cell>
          <cell r="E218" t="str">
            <v>SANITARIO BRUMA BLANCO</v>
          </cell>
          <cell r="F218" t="str">
            <v>ONE PIECE</v>
          </cell>
          <cell r="G218">
            <v>1</v>
          </cell>
          <cell r="H218">
            <v>8</v>
          </cell>
          <cell r="I218">
            <v>59</v>
          </cell>
          <cell r="J218" t="str">
            <v>PC</v>
          </cell>
        </row>
        <row r="219">
          <cell r="A219" t="str">
            <v>ET-2060</v>
          </cell>
          <cell r="B219"/>
          <cell r="C219"/>
          <cell r="D219" t="str">
            <v>BAÑO</v>
          </cell>
          <cell r="E219" t="str">
            <v>SANITARIO DELUXE BLANCO</v>
          </cell>
          <cell r="F219" t="str">
            <v>ONE PIECE</v>
          </cell>
          <cell r="G219">
            <v>1</v>
          </cell>
          <cell r="H219">
            <v>8</v>
          </cell>
          <cell r="I219">
            <v>56</v>
          </cell>
          <cell r="J219" t="str">
            <v>PC</v>
          </cell>
        </row>
        <row r="220">
          <cell r="A220" t="str">
            <v>ET-2060F</v>
          </cell>
          <cell r="B220"/>
          <cell r="C220"/>
          <cell r="D220" t="str">
            <v>BAÑO</v>
          </cell>
          <cell r="E220" t="str">
            <v>SANITARIO DELUXE GRIS LINEA ORO</v>
          </cell>
          <cell r="F220" t="str">
            <v>ONE PIECE</v>
          </cell>
          <cell r="G220">
            <v>1</v>
          </cell>
          <cell r="H220">
            <v>8</v>
          </cell>
          <cell r="I220">
            <v>56</v>
          </cell>
          <cell r="J220" t="str">
            <v>PC</v>
          </cell>
        </row>
        <row r="221">
          <cell r="A221" t="str">
            <v>ET-2060A</v>
          </cell>
          <cell r="B221" t="str">
            <v>ET2060BL</v>
          </cell>
          <cell r="C221"/>
          <cell r="D221" t="str">
            <v>BAÑO</v>
          </cell>
          <cell r="E221" t="str">
            <v>SANITARIO DELUXE NEGRO</v>
          </cell>
          <cell r="F221" t="str">
            <v>ONE PIECE</v>
          </cell>
          <cell r="G221">
            <v>1</v>
          </cell>
          <cell r="H221">
            <v>8</v>
          </cell>
          <cell r="I221">
            <v>56</v>
          </cell>
          <cell r="J221" t="str">
            <v>PC</v>
          </cell>
        </row>
        <row r="222">
          <cell r="A222" t="str">
            <v>ET-2060E</v>
          </cell>
          <cell r="B222"/>
          <cell r="C222"/>
          <cell r="D222" t="str">
            <v>BAÑO</v>
          </cell>
          <cell r="E222" t="str">
            <v>SANITARIO DELUXE NEGRO LINEA ORO</v>
          </cell>
          <cell r="F222" t="str">
            <v>ONE PIECE</v>
          </cell>
          <cell r="G222">
            <v>1</v>
          </cell>
          <cell r="H222">
            <v>8</v>
          </cell>
          <cell r="I222">
            <v>56</v>
          </cell>
          <cell r="J222" t="str">
            <v>PC</v>
          </cell>
        </row>
        <row r="223">
          <cell r="A223" t="str">
            <v>ET-2060GG</v>
          </cell>
          <cell r="B223"/>
          <cell r="C223"/>
          <cell r="D223" t="str">
            <v>BAÑO</v>
          </cell>
          <cell r="E223" t="str">
            <v>SANITARIO DELUXE BLANCO LINEA ORO</v>
          </cell>
          <cell r="F223" t="str">
            <v>ONE PIECE</v>
          </cell>
          <cell r="G223">
            <v>1</v>
          </cell>
          <cell r="H223">
            <v>8</v>
          </cell>
          <cell r="I223">
            <v>56</v>
          </cell>
          <cell r="J223" t="str">
            <v>PC</v>
          </cell>
        </row>
        <row r="224">
          <cell r="A224" t="str">
            <v>ET-2060K</v>
          </cell>
          <cell r="B224"/>
          <cell r="C224"/>
          <cell r="D224" t="str">
            <v>BAÑO</v>
          </cell>
          <cell r="E224" t="str">
            <v>SANITARIO DELUXE BLANCO CARRARA</v>
          </cell>
          <cell r="F224" t="str">
            <v>ONE PIECE</v>
          </cell>
          <cell r="G224">
            <v>1</v>
          </cell>
          <cell r="H224">
            <v>8</v>
          </cell>
          <cell r="I224">
            <v>56</v>
          </cell>
          <cell r="J224" t="str">
            <v>PC</v>
          </cell>
        </row>
        <row r="225">
          <cell r="A225" t="str">
            <v>ET-2060M</v>
          </cell>
          <cell r="B225"/>
          <cell r="C225"/>
          <cell r="D225" t="str">
            <v>BAÑO</v>
          </cell>
          <cell r="E225" t="str">
            <v>SANITARIO DELUXE NEGRO CARRARA</v>
          </cell>
          <cell r="F225" t="str">
            <v>ONE PIECE</v>
          </cell>
          <cell r="G225">
            <v>1</v>
          </cell>
          <cell r="H225">
            <v>8</v>
          </cell>
          <cell r="I225">
            <v>56</v>
          </cell>
          <cell r="J225" t="str">
            <v>PC</v>
          </cell>
        </row>
        <row r="226">
          <cell r="A226" t="str">
            <v>ET-2060GOLD</v>
          </cell>
          <cell r="B226"/>
          <cell r="C226"/>
          <cell r="D226" t="str">
            <v>BAÑO</v>
          </cell>
          <cell r="E226" t="str">
            <v>SANITARIO DELUXE DORADO</v>
          </cell>
          <cell r="F226" t="str">
            <v>ONE PIECE</v>
          </cell>
          <cell r="G226">
            <v>1</v>
          </cell>
          <cell r="H226">
            <v>8</v>
          </cell>
          <cell r="I226">
            <v>56</v>
          </cell>
          <cell r="J226" t="str">
            <v>PC</v>
          </cell>
        </row>
        <row r="227">
          <cell r="A227" t="str">
            <v>ET-2061</v>
          </cell>
          <cell r="B227"/>
          <cell r="C227"/>
          <cell r="D227" t="str">
            <v>BAÑO</v>
          </cell>
          <cell r="E227" t="str">
            <v>SANITARIO EVOLA BLANCO</v>
          </cell>
          <cell r="F227" t="str">
            <v>ONE PIECE</v>
          </cell>
          <cell r="G227">
            <v>1</v>
          </cell>
          <cell r="H227">
            <v>8</v>
          </cell>
          <cell r="I227">
            <v>54</v>
          </cell>
          <cell r="J227" t="str">
            <v>PC</v>
          </cell>
        </row>
        <row r="228">
          <cell r="A228" t="str">
            <v>ET-2061C</v>
          </cell>
          <cell r="B228"/>
          <cell r="C228"/>
          <cell r="D228" t="str">
            <v>BAÑO</v>
          </cell>
          <cell r="E228" t="str">
            <v>SANITARIO EVOLA GRIS</v>
          </cell>
          <cell r="F228" t="str">
            <v>ONE PIECE</v>
          </cell>
          <cell r="G228">
            <v>1</v>
          </cell>
          <cell r="H228">
            <v>8</v>
          </cell>
          <cell r="I228">
            <v>54</v>
          </cell>
          <cell r="J228" t="str">
            <v>PC</v>
          </cell>
        </row>
        <row r="229">
          <cell r="A229" t="str">
            <v>ET-2061B</v>
          </cell>
          <cell r="B229"/>
          <cell r="C229"/>
          <cell r="D229" t="str">
            <v>BAÑO</v>
          </cell>
          <cell r="E229" t="str">
            <v>SANITARIO EVOLA NEGRO</v>
          </cell>
          <cell r="F229" t="str">
            <v>ONE PIECE</v>
          </cell>
          <cell r="G229">
            <v>1</v>
          </cell>
          <cell r="H229">
            <v>8</v>
          </cell>
          <cell r="I229">
            <v>54</v>
          </cell>
          <cell r="J229" t="str">
            <v>PC</v>
          </cell>
        </row>
        <row r="230">
          <cell r="A230" t="str">
            <v>ET-2064</v>
          </cell>
          <cell r="B230"/>
          <cell r="C230"/>
          <cell r="D230" t="str">
            <v>BAÑO</v>
          </cell>
          <cell r="E230" t="str">
            <v>SANITARIO CONFORD BLANCO</v>
          </cell>
          <cell r="F230" t="str">
            <v>ONE PIECE</v>
          </cell>
          <cell r="G230">
            <v>1</v>
          </cell>
          <cell r="H230">
            <v>8</v>
          </cell>
          <cell r="I230">
            <v>54</v>
          </cell>
          <cell r="J230" t="str">
            <v>PC</v>
          </cell>
        </row>
        <row r="231">
          <cell r="A231" t="str">
            <v>ET-2064A</v>
          </cell>
          <cell r="B231"/>
          <cell r="C231"/>
          <cell r="D231" t="str">
            <v>BAÑO</v>
          </cell>
          <cell r="E231" t="str">
            <v>SANITARIO CONFORD BLANCO LINEA ORO</v>
          </cell>
          <cell r="F231" t="str">
            <v>ONE PIECE</v>
          </cell>
          <cell r="G231">
            <v>1</v>
          </cell>
          <cell r="H231">
            <v>8</v>
          </cell>
          <cell r="I231">
            <v>54</v>
          </cell>
          <cell r="J231" t="str">
            <v>PC</v>
          </cell>
        </row>
        <row r="232">
          <cell r="A232" t="str">
            <v>ET-2064G</v>
          </cell>
          <cell r="B232"/>
          <cell r="C232"/>
          <cell r="D232" t="str">
            <v>BAÑO</v>
          </cell>
          <cell r="E232" t="str">
            <v>SANITARIO CONFORD BLANCO LINEA NEGRA</v>
          </cell>
          <cell r="F232" t="str">
            <v>ONE PIECE</v>
          </cell>
          <cell r="G232">
            <v>1</v>
          </cell>
          <cell r="H232">
            <v>8</v>
          </cell>
          <cell r="I232">
            <v>54</v>
          </cell>
          <cell r="J232" t="str">
            <v>PC</v>
          </cell>
        </row>
        <row r="233">
          <cell r="A233" t="str">
            <v>ET-2064BG</v>
          </cell>
          <cell r="B233"/>
          <cell r="C233"/>
          <cell r="D233" t="str">
            <v>BAÑO</v>
          </cell>
          <cell r="E233" t="str">
            <v>SANITARIO CONFORD NEGRO LINEA ORO</v>
          </cell>
          <cell r="F233" t="str">
            <v>ONE PIECE</v>
          </cell>
          <cell r="G233">
            <v>1</v>
          </cell>
          <cell r="H233">
            <v>8</v>
          </cell>
          <cell r="I233">
            <v>54</v>
          </cell>
          <cell r="J233" t="str">
            <v>PC</v>
          </cell>
        </row>
        <row r="234">
          <cell r="A234" t="str">
            <v>ET-2064B</v>
          </cell>
          <cell r="B234"/>
          <cell r="C234"/>
          <cell r="D234" t="str">
            <v>BAÑO</v>
          </cell>
          <cell r="E234" t="str">
            <v>SANITARIO CONFORD NEGRO</v>
          </cell>
          <cell r="F234" t="str">
            <v>ONE PIECE</v>
          </cell>
          <cell r="G234">
            <v>1</v>
          </cell>
          <cell r="H234">
            <v>8</v>
          </cell>
          <cell r="I234">
            <v>54</v>
          </cell>
          <cell r="J234" t="str">
            <v>PC</v>
          </cell>
        </row>
        <row r="235">
          <cell r="A235" t="str">
            <v>ET-2057</v>
          </cell>
          <cell r="B235"/>
          <cell r="C235"/>
          <cell r="D235" t="str">
            <v>BAÑO</v>
          </cell>
          <cell r="E235" t="str">
            <v>SANITARIO STYLUS BLANCO</v>
          </cell>
          <cell r="F235" t="str">
            <v>ONE PIECE</v>
          </cell>
          <cell r="G235">
            <v>1</v>
          </cell>
          <cell r="H235">
            <v>8</v>
          </cell>
          <cell r="I235">
            <v>50</v>
          </cell>
          <cell r="J235" t="str">
            <v>PC</v>
          </cell>
        </row>
        <row r="236">
          <cell r="A236" t="str">
            <v>ET-2057L</v>
          </cell>
          <cell r="B236"/>
          <cell r="C236"/>
          <cell r="D236" t="str">
            <v>BAÑO</v>
          </cell>
          <cell r="E236" t="str">
            <v>SANITARIO STYLUS BLANCO CARRARA</v>
          </cell>
          <cell r="F236" t="str">
            <v>ONE PIECE</v>
          </cell>
          <cell r="G236">
            <v>1</v>
          </cell>
          <cell r="H236">
            <v>8</v>
          </cell>
          <cell r="I236">
            <v>50</v>
          </cell>
          <cell r="J236" t="str">
            <v>PC</v>
          </cell>
        </row>
        <row r="237">
          <cell r="A237" t="str">
            <v>ET-2057H</v>
          </cell>
          <cell r="B237"/>
          <cell r="C237"/>
          <cell r="D237" t="str">
            <v>BAÑO</v>
          </cell>
          <cell r="E237" t="str">
            <v>SANITARIO STYLUS BLANCO LINEA ORO CARRARA</v>
          </cell>
          <cell r="F237" t="str">
            <v>ONE PIECE</v>
          </cell>
          <cell r="G237">
            <v>1</v>
          </cell>
          <cell r="H237">
            <v>8</v>
          </cell>
          <cell r="I237">
            <v>50</v>
          </cell>
          <cell r="J237" t="str">
            <v>PC</v>
          </cell>
        </row>
        <row r="238">
          <cell r="A238" t="str">
            <v>ET-2057G</v>
          </cell>
          <cell r="B238"/>
          <cell r="C238"/>
          <cell r="D238" t="str">
            <v>BAÑO</v>
          </cell>
          <cell r="E238" t="str">
            <v xml:space="preserve">SANITARIO STYLUS BLANCO LINEA ORO </v>
          </cell>
          <cell r="F238" t="str">
            <v>ONE PIECE</v>
          </cell>
          <cell r="G238">
            <v>1</v>
          </cell>
          <cell r="H238">
            <v>8</v>
          </cell>
          <cell r="I238">
            <v>50</v>
          </cell>
          <cell r="J238" t="str">
            <v>PC</v>
          </cell>
        </row>
        <row r="239">
          <cell r="A239" t="str">
            <v>ET-2057F</v>
          </cell>
          <cell r="B239"/>
          <cell r="C239"/>
          <cell r="D239" t="str">
            <v>BAÑO</v>
          </cell>
          <cell r="E239" t="str">
            <v>SANITARIO STYLUS BLANCO LINEA NEGRA</v>
          </cell>
          <cell r="F239" t="str">
            <v>ONE PIECE</v>
          </cell>
          <cell r="G239">
            <v>1</v>
          </cell>
          <cell r="H239">
            <v>8</v>
          </cell>
          <cell r="I239">
            <v>50</v>
          </cell>
          <cell r="J239" t="str">
            <v>PC</v>
          </cell>
        </row>
        <row r="240">
          <cell r="A240" t="str">
            <v>ET-2057S</v>
          </cell>
          <cell r="B240"/>
          <cell r="C240"/>
          <cell r="D240" t="str">
            <v>BAÑO</v>
          </cell>
          <cell r="E240" t="str">
            <v>SANITARIO STYLUS BLANCO LINEA  PLATA</v>
          </cell>
          <cell r="F240" t="str">
            <v>ONE PIECE</v>
          </cell>
          <cell r="G240">
            <v>1</v>
          </cell>
          <cell r="H240">
            <v>8</v>
          </cell>
          <cell r="I240">
            <v>50</v>
          </cell>
          <cell r="J240" t="str">
            <v>PC</v>
          </cell>
        </row>
        <row r="241">
          <cell r="A241" t="str">
            <v>ET-2057N</v>
          </cell>
          <cell r="B241" t="str">
            <v>ET-2057A</v>
          </cell>
          <cell r="C241"/>
          <cell r="D241" t="str">
            <v>BAÑO</v>
          </cell>
          <cell r="E241" t="str">
            <v>SANITARIO STYLUS NEGRO LINEA ORO</v>
          </cell>
          <cell r="F241" t="str">
            <v>ONE PIECE</v>
          </cell>
          <cell r="G241">
            <v>1</v>
          </cell>
          <cell r="H241">
            <v>8</v>
          </cell>
          <cell r="I241">
            <v>50</v>
          </cell>
          <cell r="J241" t="str">
            <v>PC</v>
          </cell>
        </row>
        <row r="242">
          <cell r="A242" t="str">
            <v>ET-2057M</v>
          </cell>
          <cell r="B242"/>
          <cell r="C242"/>
          <cell r="D242" t="str">
            <v>BAÑO</v>
          </cell>
          <cell r="E242" t="str">
            <v>SANITARIO STYLUS NEGRO LINEA PLATA</v>
          </cell>
          <cell r="F242" t="str">
            <v>ONE PIECE</v>
          </cell>
          <cell r="G242">
            <v>1</v>
          </cell>
          <cell r="H242">
            <v>8</v>
          </cell>
          <cell r="I242">
            <v>50</v>
          </cell>
          <cell r="J242" t="str">
            <v>PC</v>
          </cell>
        </row>
        <row r="243">
          <cell r="A243" t="str">
            <v>ET-2057B</v>
          </cell>
          <cell r="B243"/>
          <cell r="C243"/>
          <cell r="D243" t="str">
            <v>BAÑO</v>
          </cell>
          <cell r="E243" t="str">
            <v xml:space="preserve">SANITARIO STYLUS NEGRO </v>
          </cell>
          <cell r="F243" t="str">
            <v>ONE PIECE</v>
          </cell>
          <cell r="G243">
            <v>1</v>
          </cell>
          <cell r="H243">
            <v>8</v>
          </cell>
          <cell r="I243">
            <v>50</v>
          </cell>
          <cell r="J243" t="str">
            <v>PC</v>
          </cell>
        </row>
        <row r="244">
          <cell r="A244" t="str">
            <v>ET-2099WB</v>
          </cell>
          <cell r="B244"/>
          <cell r="C244"/>
          <cell r="D244" t="str">
            <v>BAÑO</v>
          </cell>
          <cell r="E244" t="str">
            <v>SANITARIO SCENZA TAPA NEGRA</v>
          </cell>
          <cell r="F244" t="str">
            <v>ONE PIECE</v>
          </cell>
          <cell r="G244">
            <v>1</v>
          </cell>
          <cell r="H244">
            <v>8</v>
          </cell>
          <cell r="I244">
            <v>50</v>
          </cell>
          <cell r="J244" t="str">
            <v>PC</v>
          </cell>
        </row>
        <row r="245">
          <cell r="A245" t="str">
            <v>ET-2083</v>
          </cell>
          <cell r="B245"/>
          <cell r="C245"/>
          <cell r="D245" t="str">
            <v>BAÑO</v>
          </cell>
          <cell r="E245" t="str">
            <v>SANITARIO NOVA BLANCO</v>
          </cell>
          <cell r="F245" t="str">
            <v>ONE PIECE</v>
          </cell>
          <cell r="G245">
            <v>1</v>
          </cell>
          <cell r="H245">
            <v>8</v>
          </cell>
          <cell r="I245">
            <v>50</v>
          </cell>
          <cell r="J245" t="str">
            <v>PC</v>
          </cell>
        </row>
        <row r="246">
          <cell r="A246" t="str">
            <v>ET-2092</v>
          </cell>
          <cell r="B246"/>
          <cell r="C246"/>
          <cell r="D246" t="str">
            <v>BAÑO</v>
          </cell>
          <cell r="E246" t="str">
            <v>SANITARIO ARIA BLANCO</v>
          </cell>
          <cell r="F246" t="str">
            <v>ONE PIECE</v>
          </cell>
          <cell r="G246">
            <v>1</v>
          </cell>
          <cell r="H246">
            <v>8</v>
          </cell>
          <cell r="I246">
            <v>50</v>
          </cell>
          <cell r="J246" t="str">
            <v>PC</v>
          </cell>
        </row>
        <row r="247">
          <cell r="A247" t="str">
            <v>ET-2073</v>
          </cell>
          <cell r="B247"/>
          <cell r="C247"/>
          <cell r="D247" t="str">
            <v>BAÑO</v>
          </cell>
          <cell r="E247" t="str">
            <v>SANITARIO ROMA BLANCO</v>
          </cell>
          <cell r="F247" t="str">
            <v>ONE PIECE</v>
          </cell>
          <cell r="G247">
            <v>1</v>
          </cell>
          <cell r="H247">
            <v>8</v>
          </cell>
          <cell r="I247">
            <v>50</v>
          </cell>
          <cell r="J247" t="str">
            <v>PC</v>
          </cell>
        </row>
        <row r="248">
          <cell r="A248" t="str">
            <v>ET-2086</v>
          </cell>
          <cell r="B248"/>
          <cell r="C248"/>
          <cell r="D248" t="str">
            <v>BAÑO</v>
          </cell>
          <cell r="E248" t="str">
            <v>SANITARIO AURORA BLANCO</v>
          </cell>
          <cell r="F248" t="str">
            <v>ONE PIECE</v>
          </cell>
          <cell r="G248">
            <v>1</v>
          </cell>
          <cell r="H248">
            <v>8</v>
          </cell>
          <cell r="I248">
            <v>50</v>
          </cell>
          <cell r="J248" t="str">
            <v>PC</v>
          </cell>
        </row>
        <row r="249">
          <cell r="A249" t="str">
            <v>ET-2100</v>
          </cell>
          <cell r="B249"/>
          <cell r="C249"/>
          <cell r="D249" t="str">
            <v>BAÑO</v>
          </cell>
          <cell r="E249" t="str">
            <v>SANITARIO LUMINA BLANCO</v>
          </cell>
          <cell r="F249" t="str">
            <v>ONE PIECE</v>
          </cell>
          <cell r="G249">
            <v>1</v>
          </cell>
          <cell r="H249">
            <v>8</v>
          </cell>
          <cell r="I249">
            <v>48</v>
          </cell>
          <cell r="J249" t="str">
            <v>PC</v>
          </cell>
        </row>
        <row r="250">
          <cell r="A250" t="str">
            <v>ET-2100G</v>
          </cell>
          <cell r="B250"/>
          <cell r="C250"/>
          <cell r="D250" t="str">
            <v>BAÑO</v>
          </cell>
          <cell r="E250" t="str">
            <v>SANITARIO LUMINA BLANCO LINEA ORO</v>
          </cell>
          <cell r="F250" t="str">
            <v>ONE PIECE</v>
          </cell>
          <cell r="G250">
            <v>1</v>
          </cell>
          <cell r="H250">
            <v>8</v>
          </cell>
          <cell r="I250">
            <v>48</v>
          </cell>
          <cell r="J250" t="str">
            <v>PC</v>
          </cell>
        </row>
        <row r="251">
          <cell r="A251" t="str">
            <v>ET-2100B</v>
          </cell>
          <cell r="B251"/>
          <cell r="C251"/>
          <cell r="D251" t="str">
            <v>BAÑO</v>
          </cell>
          <cell r="E251" t="str">
            <v>SANITARIO LUMINA BLANCO LINEA NEGRA</v>
          </cell>
          <cell r="F251" t="str">
            <v>ONE PIECE</v>
          </cell>
          <cell r="G251">
            <v>1</v>
          </cell>
          <cell r="H251">
            <v>8</v>
          </cell>
          <cell r="I251">
            <v>48</v>
          </cell>
          <cell r="J251" t="str">
            <v>PC</v>
          </cell>
        </row>
        <row r="252">
          <cell r="A252" t="str">
            <v>CTB405W</v>
          </cell>
          <cell r="B252"/>
          <cell r="C252"/>
          <cell r="D252" t="str">
            <v>BAÑO</v>
          </cell>
          <cell r="E252" t="str">
            <v>LAVAMANOS POCETA ALEXA BLANCO</v>
          </cell>
          <cell r="F252" t="str">
            <v>ONE PIECE</v>
          </cell>
          <cell r="G252">
            <v>1</v>
          </cell>
          <cell r="H252">
            <v>10</v>
          </cell>
          <cell r="I252">
            <v>6.5</v>
          </cell>
          <cell r="J252" t="str">
            <v>PC</v>
          </cell>
        </row>
        <row r="253">
          <cell r="A253" t="str">
            <v>CTB406W</v>
          </cell>
          <cell r="B253"/>
          <cell r="C253"/>
          <cell r="D253" t="str">
            <v>BAÑO</v>
          </cell>
          <cell r="E253" t="str">
            <v>LAVAMANOS POCETA SPELL BLANCO</v>
          </cell>
          <cell r="F253" t="str">
            <v>ONE PIECE</v>
          </cell>
          <cell r="G253">
            <v>1</v>
          </cell>
          <cell r="H253">
            <v>10</v>
          </cell>
          <cell r="I253">
            <v>6.5</v>
          </cell>
          <cell r="J253" t="str">
            <v>PC</v>
          </cell>
        </row>
        <row r="254">
          <cell r="A254" t="str">
            <v>CTB407W</v>
          </cell>
          <cell r="B254"/>
          <cell r="C254"/>
          <cell r="D254" t="str">
            <v>BAÑO</v>
          </cell>
          <cell r="E254" t="str">
            <v>LAVAMANOS POCETA SLEEK BLANCO</v>
          </cell>
          <cell r="F254" t="str">
            <v>ONE PIECE</v>
          </cell>
          <cell r="G254">
            <v>1</v>
          </cell>
          <cell r="H254">
            <v>10</v>
          </cell>
          <cell r="I254">
            <v>6.5</v>
          </cell>
          <cell r="J254" t="str">
            <v>PC</v>
          </cell>
        </row>
        <row r="255">
          <cell r="A255" t="str">
            <v>CTB408W</v>
          </cell>
          <cell r="B255"/>
          <cell r="C255"/>
          <cell r="D255" t="str">
            <v>BAÑO</v>
          </cell>
          <cell r="E255" t="str">
            <v>LAVAMANOS POCETA TORIN BLANCO</v>
          </cell>
          <cell r="F255" t="str">
            <v>ONE PIECE</v>
          </cell>
          <cell r="G255">
            <v>1</v>
          </cell>
          <cell r="H255">
            <v>10</v>
          </cell>
          <cell r="I255">
            <v>6.5</v>
          </cell>
          <cell r="J255" t="str">
            <v>PC</v>
          </cell>
        </row>
        <row r="256">
          <cell r="A256" t="str">
            <v>CTB409W</v>
          </cell>
          <cell r="B256"/>
          <cell r="C256"/>
          <cell r="D256" t="str">
            <v>BAÑO</v>
          </cell>
          <cell r="E256" t="str">
            <v>LAVAMANOS POCETA MOON BLANCO</v>
          </cell>
          <cell r="F256" t="str">
            <v>ONE PIECE</v>
          </cell>
          <cell r="G256">
            <v>1</v>
          </cell>
          <cell r="H256">
            <v>10</v>
          </cell>
          <cell r="I256">
            <v>6.5</v>
          </cell>
          <cell r="J256" t="str">
            <v>PC</v>
          </cell>
        </row>
        <row r="257">
          <cell r="A257" t="str">
            <v>CTB410W</v>
          </cell>
          <cell r="B257"/>
          <cell r="C257"/>
          <cell r="D257" t="str">
            <v>BAÑO</v>
          </cell>
          <cell r="E257" t="str">
            <v>LAVAMANOS POCETA SUN BLANCO</v>
          </cell>
          <cell r="F257" t="str">
            <v>ONE PIECE</v>
          </cell>
          <cell r="G257">
            <v>1</v>
          </cell>
          <cell r="H257">
            <v>10</v>
          </cell>
          <cell r="I257">
            <v>6.5</v>
          </cell>
          <cell r="J257" t="str">
            <v>PC</v>
          </cell>
        </row>
        <row r="258">
          <cell r="A258" t="str">
            <v>CPB405W</v>
          </cell>
          <cell r="B258"/>
          <cell r="C258"/>
          <cell r="D258" t="str">
            <v>BAÑO</v>
          </cell>
          <cell r="E258" t="str">
            <v>LAVAMANOS PEDESTAL FIONA BLANCO</v>
          </cell>
          <cell r="F258" t="str">
            <v>ONE PIECE</v>
          </cell>
          <cell r="G258">
            <v>1</v>
          </cell>
          <cell r="H258">
            <v>5</v>
          </cell>
          <cell r="I258">
            <v>6.5</v>
          </cell>
          <cell r="J258" t="str">
            <v>PC</v>
          </cell>
        </row>
        <row r="259">
          <cell r="A259" t="str">
            <v>CD06</v>
          </cell>
          <cell r="B259"/>
          <cell r="C259"/>
          <cell r="D259" t="str">
            <v>BAÑO</v>
          </cell>
          <cell r="E259" t="str">
            <v>LAVAMANOS POCETA PLAZMA-06 VETA ONIX</v>
          </cell>
          <cell r="F259" t="str">
            <v>ONE PIECE</v>
          </cell>
          <cell r="G259">
            <v>1</v>
          </cell>
          <cell r="H259">
            <v>10</v>
          </cell>
          <cell r="I259">
            <v>6.5</v>
          </cell>
          <cell r="J259" t="str">
            <v>PC</v>
          </cell>
        </row>
        <row r="260">
          <cell r="A260" t="str">
            <v>CD05</v>
          </cell>
          <cell r="B260"/>
          <cell r="C260"/>
          <cell r="D260" t="str">
            <v>BAÑO</v>
          </cell>
          <cell r="E260" t="str">
            <v>LAVAMANOS POCETA PLAZMA-05 VETA ORO</v>
          </cell>
          <cell r="F260" t="str">
            <v>ONE PIECE</v>
          </cell>
          <cell r="G260">
            <v>1</v>
          </cell>
          <cell r="H260">
            <v>10</v>
          </cell>
          <cell r="I260">
            <v>6.5</v>
          </cell>
          <cell r="J260" t="str">
            <v>PC</v>
          </cell>
        </row>
        <row r="261">
          <cell r="A261" t="str">
            <v>CD07</v>
          </cell>
          <cell r="B261"/>
          <cell r="C261"/>
          <cell r="D261" t="str">
            <v>BAÑO</v>
          </cell>
          <cell r="E261" t="str">
            <v>LAVAMANOS POCETA SWING-01 BLANCO-NEGRO</v>
          </cell>
          <cell r="F261" t="str">
            <v>ONE PIECE</v>
          </cell>
          <cell r="G261">
            <v>1</v>
          </cell>
          <cell r="H261">
            <v>10</v>
          </cell>
          <cell r="I261">
            <v>6.5</v>
          </cell>
          <cell r="J261" t="str">
            <v>PC</v>
          </cell>
        </row>
        <row r="262">
          <cell r="A262" t="str">
            <v>CD08</v>
          </cell>
          <cell r="B262"/>
          <cell r="C262"/>
          <cell r="D262" t="str">
            <v>BAÑO</v>
          </cell>
          <cell r="E262" t="str">
            <v>LAVAMANOS POCETA SWING-17 BLANCO-CARRARA</v>
          </cell>
          <cell r="F262" t="str">
            <v>ONE PIECE</v>
          </cell>
          <cell r="G262">
            <v>1</v>
          </cell>
          <cell r="H262">
            <v>10</v>
          </cell>
          <cell r="I262">
            <v>6.5</v>
          </cell>
          <cell r="J262" t="str">
            <v>PC</v>
          </cell>
        </row>
        <row r="263">
          <cell r="A263" t="str">
            <v>CD09</v>
          </cell>
          <cell r="B263"/>
          <cell r="C263"/>
          <cell r="D263" t="str">
            <v>BAÑO</v>
          </cell>
          <cell r="E263" t="str">
            <v>LAVAMANOS POCETA POLIO-09 BLANCO</v>
          </cell>
          <cell r="F263" t="str">
            <v>ONE PIECE</v>
          </cell>
          <cell r="G263">
            <v>1</v>
          </cell>
          <cell r="H263">
            <v>10</v>
          </cell>
          <cell r="I263">
            <v>6.5</v>
          </cell>
          <cell r="J263" t="str">
            <v>PC</v>
          </cell>
        </row>
        <row r="264">
          <cell r="A264" t="str">
            <v>CD10</v>
          </cell>
          <cell r="B264"/>
          <cell r="C264"/>
          <cell r="D264" t="str">
            <v>BAÑO</v>
          </cell>
          <cell r="E264" t="str">
            <v>LAVAMANOS POCETA SPELL-09 BLANCO</v>
          </cell>
          <cell r="F264" t="str">
            <v>ONE PIECE</v>
          </cell>
          <cell r="G264">
            <v>1</v>
          </cell>
          <cell r="H264">
            <v>10</v>
          </cell>
          <cell r="I264">
            <v>6.5</v>
          </cell>
          <cell r="J264" t="str">
            <v>PC</v>
          </cell>
        </row>
        <row r="265">
          <cell r="A265" t="str">
            <v>ET-154MS</v>
          </cell>
          <cell r="B265" t="str">
            <v>ET-154MS</v>
          </cell>
          <cell r="C265"/>
          <cell r="D265" t="str">
            <v>BAÑO</v>
          </cell>
          <cell r="E265" t="str">
            <v>LAVAMANOS POCETA LUXURY PLATEADA REDONDA</v>
          </cell>
          <cell r="F265" t="str">
            <v>36x36</v>
          </cell>
          <cell r="G265">
            <v>1</v>
          </cell>
          <cell r="H265">
            <v>10</v>
          </cell>
          <cell r="I265">
            <v>7</v>
          </cell>
          <cell r="J265" t="str">
            <v>PC</v>
          </cell>
        </row>
        <row r="266">
          <cell r="A266" t="str">
            <v>154GHG</v>
          </cell>
          <cell r="B266" t="str">
            <v>154GHG</v>
          </cell>
          <cell r="C266"/>
          <cell r="D266" t="str">
            <v>BAÑO</v>
          </cell>
          <cell r="E266" t="str">
            <v xml:space="preserve">LAVAMANOS POCETA LUXURY DORADO REDONDA  </v>
          </cell>
          <cell r="F266" t="str">
            <v>36x36</v>
          </cell>
          <cell r="G266">
            <v>1</v>
          </cell>
          <cell r="H266">
            <v>10</v>
          </cell>
          <cell r="I266">
            <v>7.9</v>
          </cell>
          <cell r="J266" t="str">
            <v>PC</v>
          </cell>
        </row>
        <row r="267">
          <cell r="A267" t="str">
            <v>174P</v>
          </cell>
          <cell r="B267" t="str">
            <v>174P</v>
          </cell>
          <cell r="C267"/>
          <cell r="D267" t="str">
            <v>BAÑO</v>
          </cell>
          <cell r="E267" t="str">
            <v xml:space="preserve">LAVAMANOS POCETA LUXURY BLANCA LINEA DORADA REDONDA  </v>
          </cell>
          <cell r="F267" t="str">
            <v>36x36</v>
          </cell>
          <cell r="G267">
            <v>1</v>
          </cell>
          <cell r="H267">
            <v>10</v>
          </cell>
          <cell r="I267">
            <v>7.9</v>
          </cell>
          <cell r="J267" t="str">
            <v>PC</v>
          </cell>
        </row>
        <row r="268">
          <cell r="A268" t="str">
            <v>174AG</v>
          </cell>
          <cell r="B268" t="str">
            <v>174AG</v>
          </cell>
          <cell r="C268"/>
          <cell r="D268" t="str">
            <v>BAÑO</v>
          </cell>
          <cell r="E268" t="str">
            <v xml:space="preserve">LAVAMANOS POCETA LUXURY BLANCA DORADA REDONDA  </v>
          </cell>
          <cell r="F268" t="str">
            <v>36x36</v>
          </cell>
          <cell r="G268">
            <v>1</v>
          </cell>
          <cell r="H268">
            <v>10</v>
          </cell>
          <cell r="I268">
            <v>7.9</v>
          </cell>
          <cell r="J268" t="str">
            <v>PC</v>
          </cell>
        </row>
        <row r="269">
          <cell r="A269" t="str">
            <v>ET-320GW</v>
          </cell>
          <cell r="B269" t="str">
            <v>ET-320GW</v>
          </cell>
          <cell r="C269"/>
          <cell r="D269" t="str">
            <v>BAÑO</v>
          </cell>
          <cell r="E269" t="str">
            <v>LAVAMANOS POCETA LUXURY REDONDA DORADO / BLANCA</v>
          </cell>
          <cell r="F269" t="str">
            <v>36x36</v>
          </cell>
          <cell r="G269">
            <v>1</v>
          </cell>
          <cell r="H269">
            <v>10</v>
          </cell>
          <cell r="I269">
            <v>9</v>
          </cell>
          <cell r="J269" t="str">
            <v>PC</v>
          </cell>
        </row>
        <row r="270">
          <cell r="A270" t="str">
            <v>ET-320GOLD</v>
          </cell>
          <cell r="B270" t="str">
            <v>ET-320GOLD</v>
          </cell>
          <cell r="C270"/>
          <cell r="D270" t="str">
            <v>BAÑO</v>
          </cell>
          <cell r="E270" t="str">
            <v>LAVAMANOS POCETA LUXURY REDONDA DORADO</v>
          </cell>
          <cell r="F270" t="str">
            <v>36x36</v>
          </cell>
          <cell r="G270">
            <v>1</v>
          </cell>
          <cell r="H270">
            <v>10</v>
          </cell>
          <cell r="I270">
            <v>9</v>
          </cell>
          <cell r="J270" t="str">
            <v>PC</v>
          </cell>
        </row>
        <row r="271">
          <cell r="A271" t="str">
            <v>ET-320SILVER</v>
          </cell>
          <cell r="B271" t="str">
            <v>ET-320SILVER</v>
          </cell>
          <cell r="C271"/>
          <cell r="D271" t="str">
            <v>BAÑO</v>
          </cell>
          <cell r="E271" t="str">
            <v>LAVAMANOS POCETA LUXURY REDONDA PLATA</v>
          </cell>
          <cell r="F271" t="str">
            <v>36x36</v>
          </cell>
          <cell r="G271">
            <v>1</v>
          </cell>
          <cell r="H271">
            <v>10</v>
          </cell>
          <cell r="I271">
            <v>9</v>
          </cell>
          <cell r="J271" t="str">
            <v>PC</v>
          </cell>
        </row>
        <row r="272">
          <cell r="A272" t="str">
            <v>ET-105 GOLD-1</v>
          </cell>
          <cell r="B272" t="str">
            <v>ET-105 GOLD-1</v>
          </cell>
          <cell r="C272"/>
          <cell r="D272" t="str">
            <v>BAÑO</v>
          </cell>
          <cell r="E272" t="str">
            <v>LAVAMANOS POCETA LUXURY DORADO / BLANCA ARABESCO REDONDA</v>
          </cell>
          <cell r="F272" t="str">
            <v>46*46</v>
          </cell>
          <cell r="G272">
            <v>1</v>
          </cell>
          <cell r="H272">
            <v>10</v>
          </cell>
          <cell r="I272">
            <v>9</v>
          </cell>
          <cell r="J272" t="str">
            <v>PC</v>
          </cell>
        </row>
        <row r="273">
          <cell r="A273" t="str">
            <v>ET-105 GOLD-2</v>
          </cell>
          <cell r="B273" t="str">
            <v>ET-105 GOLD-2</v>
          </cell>
          <cell r="C273"/>
          <cell r="D273" t="str">
            <v>BAÑO</v>
          </cell>
          <cell r="E273" t="str">
            <v xml:space="preserve">LAVAMANOS POCETA LUXURY BLANCO / ARABESCO LINEA ORO REDONDA  </v>
          </cell>
          <cell r="F273" t="str">
            <v>46*46</v>
          </cell>
          <cell r="G273">
            <v>1</v>
          </cell>
          <cell r="H273">
            <v>10</v>
          </cell>
          <cell r="I273">
            <v>9</v>
          </cell>
          <cell r="J273" t="str">
            <v>PC</v>
          </cell>
        </row>
        <row r="274">
          <cell r="A274" t="str">
            <v>ET-385GOLD-1</v>
          </cell>
          <cell r="B274" t="str">
            <v>ET-385GOLD-1</v>
          </cell>
          <cell r="C274"/>
          <cell r="D274" t="str">
            <v>BAÑO</v>
          </cell>
          <cell r="E274" t="str">
            <v xml:space="preserve">LAVAMANOS POCETA LUXURY BLANCA PANAL DORADO REDONDA  </v>
          </cell>
          <cell r="F274" t="str">
            <v>40*40</v>
          </cell>
          <cell r="G274">
            <v>1</v>
          </cell>
          <cell r="H274">
            <v>10</v>
          </cell>
          <cell r="I274">
            <v>9.5</v>
          </cell>
          <cell r="J274" t="str">
            <v>PC</v>
          </cell>
        </row>
        <row r="275">
          <cell r="A275" t="str">
            <v>ET-385GOLD-3</v>
          </cell>
          <cell r="B275" t="str">
            <v>ET-385GOLD-3</v>
          </cell>
          <cell r="C275"/>
          <cell r="D275" t="str">
            <v>BAÑO</v>
          </cell>
          <cell r="E275" t="str">
            <v xml:space="preserve">LAVAMANOS POCETA LUXURY BLANCA DORADA / TRIANGULOS REDONDA  </v>
          </cell>
          <cell r="F275" t="str">
            <v>40*40</v>
          </cell>
          <cell r="G275">
            <v>1</v>
          </cell>
          <cell r="H275">
            <v>10</v>
          </cell>
          <cell r="I275">
            <v>9.5</v>
          </cell>
          <cell r="J275" t="str">
            <v>PC</v>
          </cell>
        </row>
        <row r="276">
          <cell r="A276" t="str">
            <v>ET-385 SILVER</v>
          </cell>
          <cell r="B276" t="str">
            <v>ET-385 SILVER</v>
          </cell>
          <cell r="C276"/>
          <cell r="D276" t="str">
            <v>BAÑO</v>
          </cell>
          <cell r="E276" t="str">
            <v xml:space="preserve">LAVAMANOS POCETA LUXURY BLANCA PANAL PLATA REDONDA  </v>
          </cell>
          <cell r="F276" t="str">
            <v>40*40</v>
          </cell>
          <cell r="G276">
            <v>1</v>
          </cell>
          <cell r="H276">
            <v>10</v>
          </cell>
          <cell r="I276">
            <v>9.5</v>
          </cell>
          <cell r="J276" t="str">
            <v>PC</v>
          </cell>
        </row>
        <row r="277">
          <cell r="A277" t="str">
            <v xml:space="preserve">ET-650GG </v>
          </cell>
          <cell r="B277" t="str">
            <v xml:space="preserve">ET-650GG </v>
          </cell>
          <cell r="C277"/>
          <cell r="D277" t="str">
            <v>BAÑO</v>
          </cell>
          <cell r="E277" t="str">
            <v xml:space="preserve">LAVAMANOS POCETA LUXURY DORADA OVALADA  </v>
          </cell>
          <cell r="F277" t="str">
            <v>60*40</v>
          </cell>
          <cell r="G277">
            <v>1</v>
          </cell>
          <cell r="H277">
            <v>10</v>
          </cell>
          <cell r="I277">
            <v>10.5</v>
          </cell>
          <cell r="J277" t="str">
            <v>PC</v>
          </cell>
        </row>
        <row r="278">
          <cell r="A278" t="str">
            <v>ET-240W</v>
          </cell>
          <cell r="B278" t="str">
            <v>ET-240</v>
          </cell>
          <cell r="C278"/>
          <cell r="D278" t="str">
            <v>BAÑO</v>
          </cell>
          <cell r="E278" t="str">
            <v xml:space="preserve">LAVAMANOS POCETA BLANCA REDONDA  </v>
          </cell>
          <cell r="F278" t="str">
            <v>36x36</v>
          </cell>
          <cell r="G278">
            <v>1</v>
          </cell>
          <cell r="H278">
            <v>10</v>
          </cell>
          <cell r="I278">
            <v>9</v>
          </cell>
          <cell r="J278" t="str">
            <v>PC</v>
          </cell>
        </row>
        <row r="279">
          <cell r="A279" t="str">
            <v>ET-240B</v>
          </cell>
          <cell r="B279" t="str">
            <v>ET-240</v>
          </cell>
          <cell r="C279"/>
          <cell r="D279" t="str">
            <v>BAÑO</v>
          </cell>
          <cell r="E279" t="str">
            <v xml:space="preserve">LAVAMANOS POCETA NEGRA REDONDA  </v>
          </cell>
          <cell r="F279" t="str">
            <v>36x36</v>
          </cell>
          <cell r="G279">
            <v>1</v>
          </cell>
          <cell r="H279">
            <v>10</v>
          </cell>
          <cell r="I279">
            <v>9</v>
          </cell>
          <cell r="J279" t="str">
            <v>PC</v>
          </cell>
        </row>
        <row r="280">
          <cell r="A280" t="str">
            <v>ET-240G</v>
          </cell>
          <cell r="B280" t="str">
            <v>ET-240</v>
          </cell>
          <cell r="C280"/>
          <cell r="D280" t="str">
            <v>BAÑO</v>
          </cell>
          <cell r="E280" t="str">
            <v xml:space="preserve">LAVAMANOS POCETA GRIS REDONDA  </v>
          </cell>
          <cell r="F280" t="str">
            <v>36x36</v>
          </cell>
          <cell r="G280">
            <v>1</v>
          </cell>
          <cell r="H280">
            <v>10</v>
          </cell>
          <cell r="I280">
            <v>9</v>
          </cell>
          <cell r="J280" t="str">
            <v>PC</v>
          </cell>
        </row>
        <row r="281">
          <cell r="A281" t="str">
            <v>ET-608W</v>
          </cell>
          <cell r="B281" t="str">
            <v>ET-608</v>
          </cell>
          <cell r="C281"/>
          <cell r="D281" t="str">
            <v>BAÑO</v>
          </cell>
          <cell r="E281" t="str">
            <v xml:space="preserve">LAVAMANOS POCETA BLANCA CUADRADA </v>
          </cell>
          <cell r="F281" t="str">
            <v>36x36</v>
          </cell>
          <cell r="G281">
            <v>1</v>
          </cell>
          <cell r="H281">
            <v>10</v>
          </cell>
          <cell r="I281">
            <v>9</v>
          </cell>
          <cell r="J281" t="str">
            <v>PC</v>
          </cell>
        </row>
        <row r="282">
          <cell r="A282" t="str">
            <v>ET-608B</v>
          </cell>
          <cell r="B282" t="str">
            <v>ET-608</v>
          </cell>
          <cell r="C282"/>
          <cell r="D282" t="str">
            <v>BAÑO</v>
          </cell>
          <cell r="E282" t="str">
            <v xml:space="preserve">LAVAMANOS POCETA NEGRA CUADRADA  </v>
          </cell>
          <cell r="F282" t="str">
            <v>36x36</v>
          </cell>
          <cell r="G282">
            <v>1</v>
          </cell>
          <cell r="H282">
            <v>10</v>
          </cell>
          <cell r="I282">
            <v>9</v>
          </cell>
          <cell r="J282" t="str">
            <v>PC</v>
          </cell>
        </row>
        <row r="283">
          <cell r="A283" t="str">
            <v>ET-608G</v>
          </cell>
          <cell r="B283" t="str">
            <v>ET-608</v>
          </cell>
          <cell r="C283"/>
          <cell r="D283" t="str">
            <v>BAÑO</v>
          </cell>
          <cell r="E283" t="str">
            <v xml:space="preserve">LAVAMANOS POCETA GRIS CUADRADA  </v>
          </cell>
          <cell r="F283" t="str">
            <v>36x36</v>
          </cell>
          <cell r="G283">
            <v>1</v>
          </cell>
          <cell r="H283">
            <v>10</v>
          </cell>
          <cell r="I283">
            <v>9</v>
          </cell>
          <cell r="J283" t="str">
            <v>PC</v>
          </cell>
        </row>
        <row r="284">
          <cell r="A284" t="str">
            <v>ET-076W</v>
          </cell>
          <cell r="B284" t="str">
            <v>ET-076</v>
          </cell>
          <cell r="C284"/>
          <cell r="D284" t="str">
            <v>BAÑO</v>
          </cell>
          <cell r="E284" t="str">
            <v xml:space="preserve">LAVAMANOS POCETA BLANCA REDONDA </v>
          </cell>
          <cell r="F284" t="str">
            <v>36x36</v>
          </cell>
          <cell r="G284">
            <v>1</v>
          </cell>
          <cell r="H284">
            <v>10</v>
          </cell>
          <cell r="I284">
            <v>9</v>
          </cell>
          <cell r="J284" t="str">
            <v>PC</v>
          </cell>
        </row>
        <row r="285">
          <cell r="A285" t="str">
            <v>ET-310</v>
          </cell>
          <cell r="B285" t="str">
            <v>ET-310</v>
          </cell>
          <cell r="C285"/>
          <cell r="D285" t="str">
            <v>BAÑO</v>
          </cell>
          <cell r="E285" t="str">
            <v>LAVAMANOS POCETA AURA BLANCO/ PLATA REDONDO</v>
          </cell>
          <cell r="F285" t="str">
            <v>40X40</v>
          </cell>
          <cell r="G285">
            <v>1</v>
          </cell>
          <cell r="H285">
            <v>10</v>
          </cell>
          <cell r="I285">
            <v>9</v>
          </cell>
          <cell r="J285" t="str">
            <v>PC</v>
          </cell>
        </row>
        <row r="286">
          <cell r="A286" t="str">
            <v>ET-310G</v>
          </cell>
          <cell r="B286" t="str">
            <v>ET-310G</v>
          </cell>
          <cell r="C286"/>
          <cell r="D286" t="str">
            <v>BAÑO</v>
          </cell>
          <cell r="E286" t="str">
            <v>LAVAMANOS POCETA AURA BLANCO/ ORO REDONDO</v>
          </cell>
          <cell r="F286" t="str">
            <v>40X40</v>
          </cell>
          <cell r="G286">
            <v>1</v>
          </cell>
          <cell r="H286">
            <v>10</v>
          </cell>
          <cell r="I286">
            <v>9</v>
          </cell>
          <cell r="J286" t="str">
            <v>PC</v>
          </cell>
        </row>
        <row r="287">
          <cell r="A287" t="str">
            <v>ET-011</v>
          </cell>
          <cell r="B287" t="str">
            <v>ET-011</v>
          </cell>
          <cell r="C287"/>
          <cell r="D287" t="str">
            <v>BAÑO</v>
          </cell>
          <cell r="E287" t="str">
            <v xml:space="preserve">LAVAMANOS POCETA BLANCA CUADRADA  </v>
          </cell>
          <cell r="F287" t="str">
            <v>36x36</v>
          </cell>
          <cell r="G287">
            <v>1</v>
          </cell>
          <cell r="H287">
            <v>10</v>
          </cell>
          <cell r="I287">
            <v>9</v>
          </cell>
          <cell r="J287" t="str">
            <v>PC</v>
          </cell>
        </row>
        <row r="288">
          <cell r="A288" t="str">
            <v>ET-29</v>
          </cell>
          <cell r="B288" t="str">
            <v>ET-29</v>
          </cell>
          <cell r="C288"/>
          <cell r="D288" t="str">
            <v>BAÑO</v>
          </cell>
          <cell r="E288" t="str">
            <v>LM1 LAVAMANOS GABINETE+MESON+ESPEJO</v>
          </cell>
          <cell r="F288" t="str">
            <v>80X50</v>
          </cell>
          <cell r="G288">
            <v>1</v>
          </cell>
          <cell r="H288">
            <v>8</v>
          </cell>
          <cell r="I288">
            <v>44</v>
          </cell>
          <cell r="J288" t="str">
            <v>SET</v>
          </cell>
        </row>
        <row r="289">
          <cell r="A289" t="str">
            <v>ET-30</v>
          </cell>
          <cell r="B289" t="str">
            <v>ET-30</v>
          </cell>
          <cell r="C289"/>
          <cell r="D289" t="str">
            <v>BAÑO</v>
          </cell>
          <cell r="E289" t="str">
            <v>LM2 LAVAMANOS GABINETE+MESON+ESPEJO</v>
          </cell>
          <cell r="F289" t="str">
            <v>60X50</v>
          </cell>
          <cell r="G289">
            <v>1</v>
          </cell>
          <cell r="H289">
            <v>8</v>
          </cell>
          <cell r="I289">
            <v>31.5</v>
          </cell>
          <cell r="J289" t="str">
            <v>SET</v>
          </cell>
        </row>
        <row r="290">
          <cell r="A290" t="str">
            <v>ET-31</v>
          </cell>
          <cell r="B290" t="str">
            <v>ET-31</v>
          </cell>
          <cell r="C290"/>
          <cell r="D290" t="str">
            <v>BAÑO</v>
          </cell>
          <cell r="E290" t="str">
            <v>LM3 LAVAMANOS GABINETE+MESON+ESPEJO</v>
          </cell>
          <cell r="F290" t="str">
            <v>60X50</v>
          </cell>
          <cell r="G290">
            <v>1</v>
          </cell>
          <cell r="H290">
            <v>8</v>
          </cell>
          <cell r="I290">
            <v>31.5</v>
          </cell>
          <cell r="J290" t="str">
            <v>SET</v>
          </cell>
        </row>
        <row r="291">
          <cell r="A291" t="str">
            <v>ET-35</v>
          </cell>
          <cell r="B291" t="str">
            <v>ET-35</v>
          </cell>
          <cell r="C291"/>
          <cell r="D291" t="str">
            <v>BAÑO</v>
          </cell>
          <cell r="E291" t="str">
            <v>LM4 LAVAMANOS GABINETE+MESON+ESPEJO</v>
          </cell>
          <cell r="F291" t="str">
            <v>70X50</v>
          </cell>
          <cell r="G291">
            <v>1</v>
          </cell>
          <cell r="H291">
            <v>8</v>
          </cell>
          <cell r="I291">
            <v>37.5</v>
          </cell>
          <cell r="J291" t="str">
            <v>SET</v>
          </cell>
        </row>
        <row r="292">
          <cell r="A292" t="str">
            <v>ET-36</v>
          </cell>
          <cell r="B292" t="str">
            <v>ET-36</v>
          </cell>
          <cell r="C292"/>
          <cell r="D292" t="str">
            <v>BAÑO</v>
          </cell>
          <cell r="E292" t="str">
            <v>LM5 LAVAMANOS GABINETE+MESON+ESPEJO</v>
          </cell>
          <cell r="F292" t="str">
            <v>70X50</v>
          </cell>
          <cell r="G292">
            <v>1</v>
          </cell>
          <cell r="H292">
            <v>8</v>
          </cell>
          <cell r="I292">
            <v>38</v>
          </cell>
          <cell r="J292" t="str">
            <v>SET</v>
          </cell>
        </row>
        <row r="293">
          <cell r="A293" t="str">
            <v>ET-606</v>
          </cell>
          <cell r="B293"/>
          <cell r="C293"/>
          <cell r="D293" t="str">
            <v>BAÑO</v>
          </cell>
          <cell r="E293" t="str">
            <v>LAVAMAMOS PEDESTAL BLANCO</v>
          </cell>
          <cell r="F293" t="str">
            <v>40X40X83</v>
          </cell>
          <cell r="G293">
            <v>1</v>
          </cell>
          <cell r="H293">
            <v>1</v>
          </cell>
          <cell r="I293">
            <v>35</v>
          </cell>
          <cell r="J293" t="str">
            <v>PC</v>
          </cell>
        </row>
        <row r="294">
          <cell r="A294" t="str">
            <v>ET-606B</v>
          </cell>
          <cell r="B294"/>
          <cell r="C294"/>
          <cell r="D294" t="str">
            <v>BAÑO</v>
          </cell>
          <cell r="E294" t="str">
            <v>LAVAMANOS PEDESTAL NEGRO</v>
          </cell>
          <cell r="F294" t="str">
            <v>40X40X83</v>
          </cell>
          <cell r="G294">
            <v>1</v>
          </cell>
          <cell r="H294">
            <v>1</v>
          </cell>
          <cell r="I294">
            <v>35</v>
          </cell>
          <cell r="J294" t="str">
            <v>PC</v>
          </cell>
        </row>
        <row r="295">
          <cell r="A295" t="str">
            <v>CBO345</v>
          </cell>
          <cell r="B295"/>
          <cell r="C295"/>
          <cell r="D295" t="str">
            <v>BAÑO</v>
          </cell>
          <cell r="E295" t="str">
            <v>CBO LAGUNA BLCO SIN PED. CON AS</v>
          </cell>
          <cell r="F295">
            <v>1</v>
          </cell>
          <cell r="G295">
            <v>1</v>
          </cell>
          <cell r="H295"/>
          <cell r="I295"/>
          <cell r="J295" t="str">
            <v>CAJA</v>
          </cell>
        </row>
        <row r="296">
          <cell r="A296" t="str">
            <v>LVP-06</v>
          </cell>
          <cell r="B296" t="str">
            <v>LVP7546B</v>
          </cell>
          <cell r="C296"/>
          <cell r="D296" t="str">
            <v>COCINA</v>
          </cell>
          <cell r="E296" t="str">
            <v xml:space="preserve">LAVAPLATOS ANTIRUIDO </v>
          </cell>
          <cell r="F296" t="str">
            <v xml:space="preserve"> 750*460*220</v>
          </cell>
          <cell r="G296">
            <v>1</v>
          </cell>
          <cell r="H296">
            <v>1</v>
          </cell>
          <cell r="I296">
            <v>5</v>
          </cell>
          <cell r="J296" t="str">
            <v>PC</v>
          </cell>
        </row>
        <row r="297">
          <cell r="A297" t="str">
            <v>LVP-01</v>
          </cell>
          <cell r="B297"/>
          <cell r="C297"/>
          <cell r="D297" t="str">
            <v>COCINA</v>
          </cell>
          <cell r="E297" t="str">
            <v xml:space="preserve">LAVAPLATOS ANTIRUIDO </v>
          </cell>
          <cell r="F297" t="str">
            <v>800*500*150</v>
          </cell>
          <cell r="G297">
            <v>1</v>
          </cell>
          <cell r="H297">
            <v>1</v>
          </cell>
          <cell r="I297">
            <v>3</v>
          </cell>
          <cell r="J297" t="str">
            <v>PC</v>
          </cell>
        </row>
        <row r="298">
          <cell r="A298" t="str">
            <v>LVP-03</v>
          </cell>
          <cell r="B298"/>
          <cell r="C298"/>
          <cell r="D298" t="str">
            <v>COCINA</v>
          </cell>
          <cell r="E298" t="str">
            <v xml:space="preserve">LAVAPLATOS ANTIRUIDO </v>
          </cell>
          <cell r="F298" t="str">
            <v>1000*500*150</v>
          </cell>
          <cell r="G298">
            <v>1</v>
          </cell>
          <cell r="H298">
            <v>1</v>
          </cell>
          <cell r="I298">
            <v>3.5</v>
          </cell>
          <cell r="J298" t="str">
            <v>PC</v>
          </cell>
        </row>
        <row r="299">
          <cell r="A299" t="str">
            <v>GRF-01</v>
          </cell>
          <cell r="B299"/>
          <cell r="C299"/>
          <cell r="D299" t="str">
            <v>COCINA</v>
          </cell>
          <cell r="E299" t="str">
            <v>GRIFO 1</v>
          </cell>
          <cell r="F299" t="str">
            <v>61.3*55*52</v>
          </cell>
          <cell r="G299">
            <v>1</v>
          </cell>
          <cell r="H299">
            <v>2</v>
          </cell>
          <cell r="I299">
            <v>4.5</v>
          </cell>
          <cell r="J299" t="str">
            <v>PC</v>
          </cell>
        </row>
        <row r="300">
          <cell r="A300" t="str">
            <v>GRF-02</v>
          </cell>
          <cell r="B300"/>
          <cell r="C300"/>
          <cell r="D300" t="str">
            <v>COCINA</v>
          </cell>
          <cell r="E300" t="str">
            <v>GRIFO 2</v>
          </cell>
          <cell r="F300" t="str">
            <v>65.5*65.5*53</v>
          </cell>
          <cell r="G300">
            <v>1</v>
          </cell>
          <cell r="H300">
            <v>3</v>
          </cell>
          <cell r="I300">
            <v>5.5</v>
          </cell>
          <cell r="J300" t="str">
            <v>PC</v>
          </cell>
        </row>
        <row r="301">
          <cell r="A301" t="str">
            <v>GRF-03</v>
          </cell>
          <cell r="B301"/>
          <cell r="C301"/>
          <cell r="D301" t="str">
            <v>COCINA</v>
          </cell>
          <cell r="E301" t="str">
            <v>GRIFO 3</v>
          </cell>
          <cell r="F301" t="str">
            <v>58*44*49</v>
          </cell>
          <cell r="G301">
            <v>1</v>
          </cell>
          <cell r="H301">
            <v>4</v>
          </cell>
          <cell r="I301">
            <v>6.5</v>
          </cell>
          <cell r="J301" t="str">
            <v>PC</v>
          </cell>
        </row>
        <row r="302">
          <cell r="A302" t="str">
            <v>GRF-04</v>
          </cell>
          <cell r="B302"/>
          <cell r="C302"/>
          <cell r="D302" t="str">
            <v>COCINA</v>
          </cell>
          <cell r="E302" t="str">
            <v>GRIFO 4</v>
          </cell>
          <cell r="F302" t="str">
            <v xml:space="preserve"> 58*44*49</v>
          </cell>
          <cell r="G302">
            <v>1</v>
          </cell>
          <cell r="H302">
            <v>5</v>
          </cell>
          <cell r="I302">
            <v>7.5</v>
          </cell>
          <cell r="J302" t="str">
            <v>PC</v>
          </cell>
        </row>
        <row r="303">
          <cell r="A303" t="str">
            <v>GRF-05</v>
          </cell>
          <cell r="B303"/>
          <cell r="C303"/>
          <cell r="D303" t="str">
            <v>COCINA</v>
          </cell>
          <cell r="E303" t="str">
            <v>GRIFO 5</v>
          </cell>
          <cell r="F303" t="str">
            <v xml:space="preserve"> 66*65*53</v>
          </cell>
          <cell r="G303">
            <v>1</v>
          </cell>
          <cell r="H303">
            <v>6</v>
          </cell>
          <cell r="I303">
            <v>8.5</v>
          </cell>
          <cell r="J303" t="str">
            <v>PC</v>
          </cell>
        </row>
        <row r="304">
          <cell r="A304" t="str">
            <v>S002G</v>
          </cell>
          <cell r="B304"/>
          <cell r="C304"/>
          <cell r="D304" t="str">
            <v>COCINA</v>
          </cell>
          <cell r="E304" t="str">
            <v>LAVAPLATOS INOX SELTOS DORADO</v>
          </cell>
          <cell r="F304" t="str">
            <v>75*46*25</v>
          </cell>
          <cell r="G304">
            <v>1</v>
          </cell>
          <cell r="H304">
            <v>7</v>
          </cell>
          <cell r="I304">
            <v>9.5</v>
          </cell>
          <cell r="J304" t="str">
            <v>PC</v>
          </cell>
        </row>
        <row r="305">
          <cell r="A305" t="str">
            <v>S002C</v>
          </cell>
          <cell r="B305"/>
          <cell r="C305"/>
          <cell r="D305" t="str">
            <v>COCINA</v>
          </cell>
          <cell r="E305" t="str">
            <v>LAVAPLATOS INOX SELTOS CEPILLADO</v>
          </cell>
          <cell r="F305" t="str">
            <v>75*46*25</v>
          </cell>
          <cell r="G305">
            <v>1</v>
          </cell>
          <cell r="H305">
            <v>8</v>
          </cell>
          <cell r="I305">
            <v>10.5</v>
          </cell>
          <cell r="J305" t="str">
            <v>PC</v>
          </cell>
        </row>
        <row r="306">
          <cell r="A306" t="str">
            <v>S005B</v>
          </cell>
          <cell r="B306"/>
          <cell r="C306"/>
          <cell r="D306" t="str">
            <v>COCINA</v>
          </cell>
          <cell r="E306" t="str">
            <v>LAVAPLATOS INOX NIRO NEGRO</v>
          </cell>
          <cell r="F306" t="str">
            <v>80.5*50*26.8</v>
          </cell>
          <cell r="G306">
            <v>1</v>
          </cell>
          <cell r="H306">
            <v>9</v>
          </cell>
          <cell r="I306">
            <v>11.5</v>
          </cell>
          <cell r="J306" t="str">
            <v>PC</v>
          </cell>
        </row>
        <row r="307">
          <cell r="A307" t="str">
            <v>S003C</v>
          </cell>
          <cell r="B307"/>
          <cell r="C307"/>
          <cell r="D307" t="str">
            <v>COCINA</v>
          </cell>
          <cell r="E307" t="str">
            <v>LAVAPLATOS INOX SOULD PLATEADO</v>
          </cell>
          <cell r="F307" t="str">
            <v>80.5*50*26.7</v>
          </cell>
          <cell r="G307">
            <v>1</v>
          </cell>
          <cell r="H307">
            <v>10</v>
          </cell>
          <cell r="I307">
            <v>12.5</v>
          </cell>
          <cell r="J307" t="str">
            <v>PC</v>
          </cell>
        </row>
        <row r="308">
          <cell r="A308" t="str">
            <v>S003B</v>
          </cell>
          <cell r="B308"/>
          <cell r="C308"/>
          <cell r="D308" t="str">
            <v>COCINA</v>
          </cell>
          <cell r="E308" t="str">
            <v>LAVA PLATOS INOX SOULD NEGRO</v>
          </cell>
          <cell r="F308" t="str">
            <v>80.5*50*26.7</v>
          </cell>
          <cell r="G308">
            <v>1</v>
          </cell>
          <cell r="H308">
            <v>11</v>
          </cell>
          <cell r="I308">
            <v>13.5</v>
          </cell>
          <cell r="J308" t="str">
            <v>PC</v>
          </cell>
        </row>
        <row r="309">
          <cell r="A309" t="str">
            <v>S003G</v>
          </cell>
          <cell r="B309"/>
          <cell r="C309"/>
          <cell r="D309" t="str">
            <v>COCINA</v>
          </cell>
          <cell r="E309" t="str">
            <v>LAVAPLATOS INOX SOULD DORADO</v>
          </cell>
          <cell r="F309" t="str">
            <v>80.5*50*26.7</v>
          </cell>
          <cell r="G309">
            <v>1</v>
          </cell>
          <cell r="H309">
            <v>12</v>
          </cell>
          <cell r="I309">
            <v>14.5</v>
          </cell>
          <cell r="J309" t="str">
            <v>PC</v>
          </cell>
        </row>
        <row r="310">
          <cell r="A310" t="str">
            <v>S004B</v>
          </cell>
          <cell r="B310"/>
          <cell r="C310"/>
          <cell r="D310" t="str">
            <v>COCINA</v>
          </cell>
          <cell r="E310" t="str">
            <v>LAVAPLATOS INOX STONIC NEGRO</v>
          </cell>
          <cell r="F310" t="str">
            <v>80.5*50*26.8</v>
          </cell>
          <cell r="G310">
            <v>1</v>
          </cell>
          <cell r="H310">
            <v>13</v>
          </cell>
          <cell r="I310">
            <v>15.5</v>
          </cell>
          <cell r="J310" t="str">
            <v>PC</v>
          </cell>
        </row>
        <row r="311">
          <cell r="A311" t="str">
            <v>S004C</v>
          </cell>
          <cell r="B311"/>
          <cell r="C311"/>
          <cell r="D311" t="str">
            <v>COCINA</v>
          </cell>
          <cell r="E311" t="str">
            <v>LAVAPLATOS INOX STONIC PLATEADO</v>
          </cell>
          <cell r="F311" t="str">
            <v>75*46*27</v>
          </cell>
          <cell r="G311">
            <v>1</v>
          </cell>
          <cell r="H311">
            <v>14</v>
          </cell>
          <cell r="I311">
            <v>16.5</v>
          </cell>
          <cell r="J311" t="str">
            <v>PC</v>
          </cell>
        </row>
        <row r="312">
          <cell r="A312" t="str">
            <v>S004G</v>
          </cell>
          <cell r="B312"/>
          <cell r="C312"/>
          <cell r="D312" t="str">
            <v>COCINA</v>
          </cell>
          <cell r="E312" t="str">
            <v>LAVAPLATOS INOX STONIC DORADO</v>
          </cell>
          <cell r="F312" t="str">
            <v>80.5*50*26.8</v>
          </cell>
          <cell r="G312">
            <v>1</v>
          </cell>
          <cell r="H312">
            <v>15</v>
          </cell>
          <cell r="I312">
            <v>17.5</v>
          </cell>
          <cell r="J312" t="str">
            <v>PC</v>
          </cell>
        </row>
        <row r="313">
          <cell r="A313" t="str">
            <v>S005C</v>
          </cell>
          <cell r="B313"/>
          <cell r="C313"/>
          <cell r="D313" t="str">
            <v>COCINA</v>
          </cell>
          <cell r="E313" t="str">
            <v>LAVAPLATOS INOX NIRO PLATEADO</v>
          </cell>
          <cell r="F313" t="str">
            <v>80.5*50*26.8</v>
          </cell>
          <cell r="G313">
            <v>1</v>
          </cell>
          <cell r="H313">
            <v>16</v>
          </cell>
          <cell r="I313">
            <v>18.5</v>
          </cell>
          <cell r="J313" t="str">
            <v>PC</v>
          </cell>
        </row>
        <row r="314">
          <cell r="A314">
            <v>237943</v>
          </cell>
          <cell r="B314" t="str">
            <v>DISTRIBUCIONES PVC</v>
          </cell>
          <cell r="C314"/>
          <cell r="D314" t="str">
            <v>COCINA</v>
          </cell>
          <cell r="E314" t="str">
            <v xml:space="preserve">LVP VITAL CASIC SUB </v>
          </cell>
          <cell r="F314" t="str">
            <v>60*40</v>
          </cell>
          <cell r="G314">
            <v>1</v>
          </cell>
          <cell r="H314">
            <v>17</v>
          </cell>
          <cell r="I314">
            <v>19.5</v>
          </cell>
          <cell r="J314" t="str">
            <v>PC</v>
          </cell>
        </row>
        <row r="315">
          <cell r="A315" t="str">
            <v>DHSDA-01</v>
          </cell>
          <cell r="B315"/>
          <cell r="C315"/>
          <cell r="D315" t="str">
            <v>HOGAR</v>
          </cell>
          <cell r="E315" t="str">
            <v>DISPENSADOR DE ACEITE EN SPRAY</v>
          </cell>
          <cell r="F315" t="str">
            <v>-</v>
          </cell>
          <cell r="G315">
            <v>1</v>
          </cell>
          <cell r="H315" t="str">
            <v>-</v>
          </cell>
          <cell r="I315">
            <v>0.26500000000000001</v>
          </cell>
          <cell r="J315" t="str">
            <v>PC</v>
          </cell>
        </row>
        <row r="316">
          <cell r="A316" t="str">
            <v>DHCAV</v>
          </cell>
          <cell r="B316"/>
          <cell r="C316"/>
          <cell r="D316" t="str">
            <v>HOGAR</v>
          </cell>
          <cell r="E316" t="str">
            <v xml:space="preserve">CAPSULAS DE ALMACENAMIENTO </v>
          </cell>
          <cell r="F316" t="str">
            <v>SETX4</v>
          </cell>
          <cell r="G316">
            <v>1</v>
          </cell>
          <cell r="H316" t="str">
            <v>-</v>
          </cell>
          <cell r="I316">
            <v>0.23499999999999999</v>
          </cell>
          <cell r="J316" t="str">
            <v>SET</v>
          </cell>
        </row>
        <row r="317">
          <cell r="A317">
            <v>805</v>
          </cell>
          <cell r="B317"/>
          <cell r="C317"/>
          <cell r="D317" t="str">
            <v>HOGAR</v>
          </cell>
          <cell r="E317" t="str">
            <v>TAPETES VEHICULO</v>
          </cell>
          <cell r="F317" t="str">
            <v>-</v>
          </cell>
          <cell r="G317">
            <v>1</v>
          </cell>
          <cell r="H317" t="str">
            <v>-</v>
          </cell>
          <cell r="I317" t="str">
            <v>-</v>
          </cell>
          <cell r="J317" t="str">
            <v>PC</v>
          </cell>
        </row>
        <row r="318">
          <cell r="A318" t="str">
            <v>IN-10101</v>
          </cell>
          <cell r="B318" t="str">
            <v>PC002</v>
          </cell>
          <cell r="C318"/>
          <cell r="D318" t="str">
            <v>SV</v>
          </cell>
          <cell r="E318" t="str">
            <v xml:space="preserve">PEGANTE CERAMICO INPEGA </v>
          </cell>
          <cell r="F318" t="str">
            <v>25K</v>
          </cell>
          <cell r="G318">
            <v>1</v>
          </cell>
          <cell r="H318">
            <v>25</v>
          </cell>
          <cell r="I318">
            <v>25</v>
          </cell>
          <cell r="J318" t="str">
            <v>BULTO</v>
          </cell>
        </row>
        <row r="319">
          <cell r="A319" t="str">
            <v>PC011</v>
          </cell>
          <cell r="B319"/>
          <cell r="C319"/>
          <cell r="D319" t="str">
            <v>PARED</v>
          </cell>
          <cell r="E319" t="str">
            <v>PEGANTE CERAMICO PROTECTOR</v>
          </cell>
          <cell r="F319" t="str">
            <v>25K</v>
          </cell>
          <cell r="G319">
            <v>1</v>
          </cell>
          <cell r="H319">
            <v>25</v>
          </cell>
          <cell r="I319">
            <v>25</v>
          </cell>
          <cell r="J319" t="str">
            <v>BULTO</v>
          </cell>
        </row>
        <row r="320">
          <cell r="A320" t="str">
            <v>PP012</v>
          </cell>
          <cell r="B320"/>
          <cell r="C320"/>
          <cell r="D320" t="str">
            <v>PARED</v>
          </cell>
          <cell r="E320" t="str">
            <v>PEGANTE PORCELANICO PROTECTOR</v>
          </cell>
          <cell r="F320" t="str">
            <v>25K</v>
          </cell>
          <cell r="G320">
            <v>1</v>
          </cell>
          <cell r="H320">
            <v>25</v>
          </cell>
          <cell r="I320">
            <v>25</v>
          </cell>
          <cell r="J320" t="str">
            <v>BULTO</v>
          </cell>
        </row>
        <row r="321">
          <cell r="A321">
            <v>565452501</v>
          </cell>
          <cell r="B321" t="str">
            <v>DISTRIBUCIONES PVC</v>
          </cell>
          <cell r="C321"/>
          <cell r="D321" t="str">
            <v>SV</v>
          </cell>
          <cell r="E321" t="str">
            <v xml:space="preserve">PISO MARMOL PARAMO GRIS </v>
          </cell>
          <cell r="F321" t="str">
            <v>55X55</v>
          </cell>
          <cell r="G321">
            <v>1.52</v>
          </cell>
          <cell r="H321"/>
          <cell r="I321"/>
          <cell r="J321" t="str">
            <v>CAJA</v>
          </cell>
        </row>
        <row r="322">
          <cell r="A322">
            <v>565962001</v>
          </cell>
          <cell r="B322" t="str">
            <v>DISTRIBUCIONES PVC</v>
          </cell>
          <cell r="C322"/>
          <cell r="D322" t="str">
            <v>SV</v>
          </cell>
          <cell r="E322" t="str">
            <v xml:space="preserve">PISO MARMOL CAPRI BCO </v>
          </cell>
          <cell r="F322" t="str">
            <v>55X55</v>
          </cell>
          <cell r="G322">
            <v>1.52</v>
          </cell>
          <cell r="H322"/>
          <cell r="I322"/>
          <cell r="J322" t="str">
            <v>CAJA</v>
          </cell>
        </row>
        <row r="323">
          <cell r="A323">
            <v>325011001</v>
          </cell>
          <cell r="B323" t="str">
            <v>DISTRIBUCIONES PVC</v>
          </cell>
          <cell r="C323"/>
          <cell r="D323" t="str">
            <v>SV</v>
          </cell>
          <cell r="E323" t="str">
            <v>COMBO LAGUNA 4.8 S/PEDESTAL BLANCO</v>
          </cell>
          <cell r="F323">
            <v>1</v>
          </cell>
          <cell r="G323">
            <v>1</v>
          </cell>
          <cell r="H323"/>
          <cell r="I323"/>
          <cell r="J323" t="str">
            <v>CAJA</v>
          </cell>
        </row>
        <row r="324">
          <cell r="A324">
            <v>993051051</v>
          </cell>
          <cell r="B324" t="str">
            <v>DISTRIBUCIONES PVC</v>
          </cell>
          <cell r="C324"/>
          <cell r="D324" t="str">
            <v>PARED</v>
          </cell>
          <cell r="E324" t="str">
            <v>FRAGUA CORONA BEIGE</v>
          </cell>
          <cell r="F324" t="str">
            <v>2K</v>
          </cell>
          <cell r="G324">
            <v>1</v>
          </cell>
          <cell r="H324"/>
          <cell r="I324"/>
          <cell r="J324" t="str">
            <v>CAJA</v>
          </cell>
        </row>
        <row r="325">
          <cell r="A325">
            <v>993051011</v>
          </cell>
          <cell r="B325" t="str">
            <v>DISTRIBUCIONES PVC</v>
          </cell>
          <cell r="C325"/>
          <cell r="D325" t="str">
            <v>PARED</v>
          </cell>
          <cell r="E325" t="str">
            <v>FRAGUA CORONA BLANCO</v>
          </cell>
          <cell r="F325" t="str">
            <v>2K</v>
          </cell>
          <cell r="G325">
            <v>1</v>
          </cell>
          <cell r="H325">
            <v>2</v>
          </cell>
          <cell r="I325">
            <v>2</v>
          </cell>
          <cell r="J325" t="str">
            <v>CAJA</v>
          </cell>
        </row>
        <row r="326">
          <cell r="A326">
            <v>902051501</v>
          </cell>
          <cell r="B326" t="str">
            <v>DISTRIBUCIONES PVC</v>
          </cell>
          <cell r="C326"/>
          <cell r="D326" t="str">
            <v>SV</v>
          </cell>
          <cell r="E326" t="str">
            <v>MEGAPEGA CERAMICO</v>
          </cell>
          <cell r="F326" t="str">
            <v>25K</v>
          </cell>
          <cell r="G326">
            <v>1</v>
          </cell>
          <cell r="H326">
            <v>25</v>
          </cell>
          <cell r="I326">
            <v>25</v>
          </cell>
          <cell r="J326" t="str">
            <v>BULTO</v>
          </cell>
        </row>
        <row r="327">
          <cell r="A327">
            <v>225028289</v>
          </cell>
          <cell r="B327" t="str">
            <v>DISTRIBUCIONES PVC</v>
          </cell>
          <cell r="C327"/>
          <cell r="D327" t="str">
            <v>SV</v>
          </cell>
          <cell r="E327" t="str">
            <v>PIETRA PISO GRIS</v>
          </cell>
          <cell r="F327" t="str">
            <v>61X61</v>
          </cell>
          <cell r="G327">
            <v>1.86</v>
          </cell>
          <cell r="H327"/>
          <cell r="I327"/>
          <cell r="J327" t="str">
            <v>CAJA</v>
          </cell>
        </row>
        <row r="328">
          <cell r="A328">
            <v>1018</v>
          </cell>
          <cell r="B328" t="str">
            <v>SAN MIGUEL</v>
          </cell>
          <cell r="C328"/>
          <cell r="D328" t="str">
            <v>SV</v>
          </cell>
          <cell r="E328" t="str">
            <v>PISO PARED PIEMONTE NEGRO</v>
          </cell>
          <cell r="F328" t="str">
            <v>31X60</v>
          </cell>
          <cell r="G328">
            <v>1.68</v>
          </cell>
          <cell r="H328"/>
          <cell r="I328"/>
          <cell r="J328" t="str">
            <v>CAJA</v>
          </cell>
        </row>
        <row r="329">
          <cell r="A329">
            <v>1253</v>
          </cell>
          <cell r="B329" t="str">
            <v>GLOBOCERAMICAS</v>
          </cell>
          <cell r="C329"/>
          <cell r="D329" t="str">
            <v>SV</v>
          </cell>
          <cell r="E329" t="str">
            <v>PARED BLANCO SELECTO</v>
          </cell>
          <cell r="F329" t="str">
            <v>31X60</v>
          </cell>
          <cell r="G329">
            <v>1.68</v>
          </cell>
          <cell r="H329"/>
          <cell r="I329"/>
          <cell r="J329" t="str">
            <v>CAJA</v>
          </cell>
        </row>
        <row r="330">
          <cell r="A330">
            <v>7</v>
          </cell>
          <cell r="B330" t="str">
            <v>MONARCA</v>
          </cell>
          <cell r="C330"/>
          <cell r="D330" t="str">
            <v>SV</v>
          </cell>
          <cell r="E330" t="str">
            <v>PISO BARRANQUILLA NEGRO</v>
          </cell>
          <cell r="F330" t="str">
            <v>50X50</v>
          </cell>
          <cell r="G330">
            <v>2.25</v>
          </cell>
          <cell r="H330"/>
          <cell r="I330"/>
          <cell r="J330" t="str">
            <v>CAJA</v>
          </cell>
        </row>
        <row r="331">
          <cell r="A331">
            <v>3</v>
          </cell>
          <cell r="B331" t="str">
            <v>MONARCA</v>
          </cell>
          <cell r="C331"/>
          <cell r="D331" t="str">
            <v>SV</v>
          </cell>
          <cell r="E331" t="str">
            <v>PISO CREMA SELECTA/ 1.82M2</v>
          </cell>
          <cell r="F331" t="str">
            <v>45X45</v>
          </cell>
          <cell r="G331">
            <v>1.82</v>
          </cell>
          <cell r="H331"/>
          <cell r="I331"/>
          <cell r="J331" t="str">
            <v>CAJA</v>
          </cell>
        </row>
        <row r="332">
          <cell r="A332">
            <v>13</v>
          </cell>
          <cell r="B332" t="str">
            <v>MONARCA</v>
          </cell>
          <cell r="C332"/>
          <cell r="D332" t="str">
            <v>SV</v>
          </cell>
          <cell r="E332" t="str">
            <v>PORCELANATO VANCUVER</v>
          </cell>
          <cell r="F332" t="str">
            <v>120x60</v>
          </cell>
          <cell r="G332">
            <v>2.16</v>
          </cell>
          <cell r="H332"/>
          <cell r="I332"/>
          <cell r="J332" t="str">
            <v>CAJA</v>
          </cell>
        </row>
        <row r="333">
          <cell r="A333" t="str">
            <v>TEX6-A</v>
          </cell>
          <cell r="B333"/>
          <cell r="C333"/>
          <cell r="D333" t="str">
            <v>BEBE</v>
          </cell>
          <cell r="E333" t="str">
            <v>TAPETE NUMEROS</v>
          </cell>
          <cell r="F333" t="str">
            <v>58*58*2</v>
          </cell>
          <cell r="G333">
            <v>1</v>
          </cell>
          <cell r="H333">
            <v>0</v>
          </cell>
          <cell r="I333" t="str">
            <v>-</v>
          </cell>
          <cell r="J333" t="str">
            <v>CAJA</v>
          </cell>
        </row>
        <row r="334">
          <cell r="A334" t="str">
            <v>TEX6-B</v>
          </cell>
          <cell r="B334"/>
          <cell r="C334"/>
          <cell r="D334" t="str">
            <v>BEBE</v>
          </cell>
          <cell r="E334" t="str">
            <v>TAPETE BALLENA</v>
          </cell>
          <cell r="F334" t="str">
            <v>58*58*2 SETX6</v>
          </cell>
          <cell r="G334">
            <v>1</v>
          </cell>
          <cell r="H334">
            <v>0</v>
          </cell>
          <cell r="I334" t="str">
            <v>-</v>
          </cell>
          <cell r="J334" t="str">
            <v>CAJA</v>
          </cell>
        </row>
        <row r="335">
          <cell r="A335" t="str">
            <v>TEX6-C</v>
          </cell>
          <cell r="B335"/>
          <cell r="C335"/>
          <cell r="D335" t="str">
            <v>BEBE</v>
          </cell>
          <cell r="E335" t="str">
            <v>TAPETE PISTA</v>
          </cell>
          <cell r="F335" t="str">
            <v>58*58*2 SETX6</v>
          </cell>
          <cell r="G335">
            <v>1</v>
          </cell>
          <cell r="H335">
            <v>0</v>
          </cell>
          <cell r="I335" t="str">
            <v>-</v>
          </cell>
          <cell r="J335" t="str">
            <v>CAJA</v>
          </cell>
        </row>
        <row r="336">
          <cell r="A336" t="str">
            <v>TEX6-D</v>
          </cell>
          <cell r="B336"/>
          <cell r="C336"/>
          <cell r="D336" t="str">
            <v>BEBE</v>
          </cell>
          <cell r="E336" t="str">
            <v>TAPETE  POLAR</v>
          </cell>
          <cell r="F336" t="str">
            <v>58*58*2 SETX6</v>
          </cell>
          <cell r="G336">
            <v>1</v>
          </cell>
          <cell r="H336">
            <v>0</v>
          </cell>
          <cell r="I336" t="str">
            <v>-</v>
          </cell>
          <cell r="J336" t="str">
            <v>CAJA</v>
          </cell>
        </row>
        <row r="337">
          <cell r="A337" t="str">
            <v>TEX4-A</v>
          </cell>
          <cell r="B337"/>
          <cell r="C337"/>
          <cell r="D337" t="str">
            <v>BEBE</v>
          </cell>
          <cell r="E337" t="str">
            <v>TAPETE  JIRAFA</v>
          </cell>
          <cell r="F337" t="str">
            <v>60*60*1 SETX4</v>
          </cell>
          <cell r="G337">
            <v>1</v>
          </cell>
          <cell r="H337">
            <v>0</v>
          </cell>
          <cell r="I337" t="str">
            <v>-</v>
          </cell>
          <cell r="J337" t="str">
            <v>CAJA</v>
          </cell>
        </row>
        <row r="338">
          <cell r="A338" t="str">
            <v>TEX4-B</v>
          </cell>
          <cell r="B338"/>
          <cell r="C338"/>
          <cell r="D338" t="str">
            <v>BEBE</v>
          </cell>
          <cell r="E338" t="str">
            <v>TAPETE NUMEROS</v>
          </cell>
          <cell r="F338" t="str">
            <v>60*60*1 SETX4</v>
          </cell>
          <cell r="G338">
            <v>1</v>
          </cell>
          <cell r="H338">
            <v>0</v>
          </cell>
          <cell r="I338" t="str">
            <v>-</v>
          </cell>
          <cell r="J338" t="str">
            <v>CAJA</v>
          </cell>
        </row>
        <row r="339">
          <cell r="A339" t="str">
            <v>TEX4-C</v>
          </cell>
          <cell r="B339"/>
          <cell r="C339"/>
          <cell r="D339" t="str">
            <v>BEBE</v>
          </cell>
          <cell r="E339" t="str">
            <v>TAPETE KOALA</v>
          </cell>
          <cell r="F339" t="str">
            <v>60*60*1 SETX4</v>
          </cell>
          <cell r="G339">
            <v>1</v>
          </cell>
          <cell r="H339">
            <v>0</v>
          </cell>
          <cell r="I339" t="str">
            <v>-</v>
          </cell>
          <cell r="J339" t="str">
            <v>CAJA</v>
          </cell>
        </row>
        <row r="340">
          <cell r="A340" t="str">
            <v>TEX4-D</v>
          </cell>
          <cell r="B340"/>
          <cell r="C340"/>
          <cell r="D340" t="str">
            <v>BEBE</v>
          </cell>
          <cell r="E340" t="str">
            <v>TAPETE BALLENA</v>
          </cell>
          <cell r="F340" t="str">
            <v>60*60*1 SETX4</v>
          </cell>
          <cell r="G340">
            <v>1</v>
          </cell>
          <cell r="H340">
            <v>0</v>
          </cell>
          <cell r="I340" t="str">
            <v>-</v>
          </cell>
          <cell r="J340" t="str">
            <v>CAJA</v>
          </cell>
        </row>
        <row r="341">
          <cell r="A341" t="str">
            <v>TEX4-E</v>
          </cell>
          <cell r="B341"/>
          <cell r="C341"/>
          <cell r="D341" t="str">
            <v>BEBE</v>
          </cell>
          <cell r="E341" t="str">
            <v>TAPETE UNICORNIO</v>
          </cell>
          <cell r="F341" t="str">
            <v>60*60*1 SETX4</v>
          </cell>
          <cell r="G341">
            <v>1</v>
          </cell>
          <cell r="H341">
            <v>0</v>
          </cell>
          <cell r="I341" t="str">
            <v>-</v>
          </cell>
          <cell r="J341" t="str">
            <v>CAJA</v>
          </cell>
        </row>
        <row r="342">
          <cell r="A342" t="str">
            <v>TEX4-F</v>
          </cell>
          <cell r="B342"/>
          <cell r="C342"/>
          <cell r="D342" t="str">
            <v>BEBE</v>
          </cell>
          <cell r="E342" t="str">
            <v>TAPETE GRANJA</v>
          </cell>
          <cell r="F342" t="str">
            <v>60*60*1 SETX4</v>
          </cell>
          <cell r="G342">
            <v>1</v>
          </cell>
          <cell r="H342">
            <v>0</v>
          </cell>
          <cell r="I342" t="str">
            <v>-</v>
          </cell>
          <cell r="J342" t="str">
            <v>CAJA</v>
          </cell>
        </row>
        <row r="343">
          <cell r="A343" t="str">
            <v>TEX4-G</v>
          </cell>
          <cell r="B343"/>
          <cell r="C343"/>
          <cell r="D343" t="str">
            <v>BEBE</v>
          </cell>
          <cell r="E343" t="str">
            <v>TAPETE ARDILLA</v>
          </cell>
          <cell r="F343" t="str">
            <v>60*60*1 SETX4</v>
          </cell>
          <cell r="G343">
            <v>1</v>
          </cell>
          <cell r="H343">
            <v>0</v>
          </cell>
          <cell r="I343" t="str">
            <v>-</v>
          </cell>
          <cell r="J343" t="str">
            <v>CAJA</v>
          </cell>
        </row>
        <row r="344">
          <cell r="A344" t="str">
            <v>TEX4-H</v>
          </cell>
          <cell r="B344"/>
          <cell r="C344"/>
          <cell r="D344" t="str">
            <v>BEBE</v>
          </cell>
          <cell r="E344" t="str">
            <v>TAPETE BARCO</v>
          </cell>
          <cell r="F344" t="str">
            <v>60*60*1 SETX4</v>
          </cell>
          <cell r="G344">
            <v>1</v>
          </cell>
          <cell r="H344">
            <v>0</v>
          </cell>
          <cell r="I344" t="str">
            <v>-</v>
          </cell>
          <cell r="J344" t="str">
            <v>CAJA</v>
          </cell>
        </row>
        <row r="345">
          <cell r="A345" t="str">
            <v>TEX4-I</v>
          </cell>
          <cell r="B345"/>
          <cell r="C345"/>
          <cell r="D345" t="str">
            <v>BEBE</v>
          </cell>
          <cell r="E345" t="str">
            <v>TAPETE OSO</v>
          </cell>
          <cell r="F345" t="str">
            <v>60*60*1 SETX4</v>
          </cell>
          <cell r="G345">
            <v>1</v>
          </cell>
          <cell r="H345">
            <v>0</v>
          </cell>
          <cell r="I345" t="str">
            <v>-</v>
          </cell>
          <cell r="J345" t="str">
            <v>CAJA</v>
          </cell>
        </row>
        <row r="346">
          <cell r="A346" t="str">
            <v>TEX4-J</v>
          </cell>
          <cell r="B346"/>
          <cell r="C346"/>
          <cell r="D346" t="str">
            <v>BEBE</v>
          </cell>
          <cell r="E346" t="str">
            <v>TAPETE HELADOS</v>
          </cell>
          <cell r="F346" t="str">
            <v>60*60*1 SETX4</v>
          </cell>
          <cell r="G346">
            <v>1</v>
          </cell>
          <cell r="H346">
            <v>0</v>
          </cell>
          <cell r="I346" t="str">
            <v>-</v>
          </cell>
          <cell r="J346" t="str">
            <v>CAJA</v>
          </cell>
        </row>
        <row r="347">
          <cell r="A347" t="str">
            <v>TPB-A</v>
          </cell>
          <cell r="B347"/>
          <cell r="C347"/>
          <cell r="D347" t="str">
            <v>BEBE</v>
          </cell>
          <cell r="E347" t="str">
            <v>TAPETE PLEGABLE HUELLAS</v>
          </cell>
          <cell r="F347" t="str">
            <v>180*200*1</v>
          </cell>
          <cell r="G347">
            <v>1</v>
          </cell>
          <cell r="H347">
            <v>0</v>
          </cell>
          <cell r="I347">
            <v>1</v>
          </cell>
          <cell r="J347" t="str">
            <v>PAQUETE</v>
          </cell>
        </row>
        <row r="348">
          <cell r="A348" t="str">
            <v>TPB-B</v>
          </cell>
          <cell r="B348"/>
          <cell r="C348"/>
          <cell r="D348" t="str">
            <v>BEBE</v>
          </cell>
          <cell r="E348" t="str">
            <v>TAPETE PLEGABLE TIGRE</v>
          </cell>
          <cell r="F348" t="str">
            <v>180*200*1</v>
          </cell>
          <cell r="G348">
            <v>1</v>
          </cell>
          <cell r="H348">
            <v>0</v>
          </cell>
          <cell r="I348" t="str">
            <v>-</v>
          </cell>
          <cell r="J348" t="str">
            <v>PAQUETE</v>
          </cell>
        </row>
        <row r="349">
          <cell r="A349" t="str">
            <v>TPB-C</v>
          </cell>
          <cell r="B349"/>
          <cell r="C349"/>
          <cell r="D349" t="str">
            <v>BEBE</v>
          </cell>
          <cell r="E349" t="str">
            <v>TAPETE PLEGABLE JIRAFA</v>
          </cell>
          <cell r="F349" t="str">
            <v>180*200*1</v>
          </cell>
          <cell r="G349">
            <v>1</v>
          </cell>
          <cell r="H349">
            <v>0</v>
          </cell>
          <cell r="I349">
            <v>1</v>
          </cell>
          <cell r="J349" t="str">
            <v>PAQUETE</v>
          </cell>
        </row>
        <row r="350">
          <cell r="A350" t="str">
            <v>TPB-D</v>
          </cell>
          <cell r="B350"/>
          <cell r="C350"/>
          <cell r="D350" t="str">
            <v>BEBE</v>
          </cell>
          <cell r="E350" t="str">
            <v>TAPETE PLEGABLE POLICIA</v>
          </cell>
          <cell r="F350" t="str">
            <v>180*200*1</v>
          </cell>
          <cell r="G350">
            <v>1</v>
          </cell>
          <cell r="H350">
            <v>0</v>
          </cell>
          <cell r="I350" t="str">
            <v>-</v>
          </cell>
          <cell r="J350" t="str">
            <v>PAQUETE</v>
          </cell>
        </row>
        <row r="351">
          <cell r="A351" t="str">
            <v>TPB-E</v>
          </cell>
          <cell r="B351"/>
          <cell r="C351"/>
          <cell r="D351" t="str">
            <v>BEBE</v>
          </cell>
          <cell r="E351" t="str">
            <v>TAPETE PLEGABLE  ZEBRA</v>
          </cell>
          <cell r="F351" t="str">
            <v>180*200*1</v>
          </cell>
          <cell r="G351">
            <v>1</v>
          </cell>
          <cell r="H351">
            <v>0</v>
          </cell>
          <cell r="I351" t="str">
            <v>-</v>
          </cell>
          <cell r="J351" t="str">
            <v>PAQUETE</v>
          </cell>
        </row>
        <row r="352">
          <cell r="A352" t="str">
            <v>TPB-F</v>
          </cell>
          <cell r="B352"/>
          <cell r="C352"/>
          <cell r="D352" t="str">
            <v>BEBE</v>
          </cell>
          <cell r="E352" t="str">
            <v>TAPETE PLEGABLE ARBOLES</v>
          </cell>
          <cell r="F352" t="str">
            <v>180*200*1</v>
          </cell>
          <cell r="G352">
            <v>1</v>
          </cell>
          <cell r="H352">
            <v>0</v>
          </cell>
          <cell r="I352" t="str">
            <v>-</v>
          </cell>
          <cell r="J352" t="str">
            <v>PAQUETE</v>
          </cell>
        </row>
        <row r="353">
          <cell r="A353" t="str">
            <v>TPB-G</v>
          </cell>
          <cell r="B353"/>
          <cell r="C353"/>
          <cell r="D353" t="str">
            <v>BEBE</v>
          </cell>
          <cell r="E353" t="str">
            <v>TAPETE PLEGABLE PISTA OSO</v>
          </cell>
          <cell r="F353" t="str">
            <v>180*200*1</v>
          </cell>
          <cell r="G353">
            <v>1</v>
          </cell>
          <cell r="H353">
            <v>0</v>
          </cell>
          <cell r="I353" t="str">
            <v>-</v>
          </cell>
          <cell r="J353" t="str">
            <v>PAQUETE</v>
          </cell>
        </row>
        <row r="354">
          <cell r="A354" t="str">
            <v>TPB-H</v>
          </cell>
          <cell r="B354"/>
          <cell r="C354"/>
          <cell r="D354" t="str">
            <v>BEBE</v>
          </cell>
          <cell r="E354" t="str">
            <v>TAPETE PLEGABLEJIRAFA BUFANDA</v>
          </cell>
          <cell r="F354" t="str">
            <v>180*200*1</v>
          </cell>
          <cell r="G354">
            <v>1</v>
          </cell>
          <cell r="H354">
            <v>0</v>
          </cell>
          <cell r="I354" t="str">
            <v>-</v>
          </cell>
          <cell r="J354" t="str">
            <v>PAQUETE</v>
          </cell>
        </row>
        <row r="355">
          <cell r="A355" t="str">
            <v>TPB-I</v>
          </cell>
          <cell r="B355"/>
          <cell r="C355"/>
          <cell r="D355" t="str">
            <v>BEBE</v>
          </cell>
          <cell r="E355" t="str">
            <v>TAPETE PLEGABLE PISTA 2</v>
          </cell>
          <cell r="F355" t="str">
            <v>180*200*1</v>
          </cell>
          <cell r="G355">
            <v>1</v>
          </cell>
          <cell r="H355">
            <v>0</v>
          </cell>
          <cell r="I355">
            <v>1</v>
          </cell>
          <cell r="J355" t="str">
            <v>PAQUETE</v>
          </cell>
        </row>
        <row r="356">
          <cell r="A356" t="str">
            <v>TPB-J</v>
          </cell>
          <cell r="B356"/>
          <cell r="C356"/>
          <cell r="D356" t="str">
            <v>BEBE</v>
          </cell>
          <cell r="E356" t="str">
            <v>TAPETE PLEGABLE POLAR</v>
          </cell>
          <cell r="F356" t="str">
            <v>180*200*1</v>
          </cell>
          <cell r="G356">
            <v>1</v>
          </cell>
          <cell r="H356">
            <v>0</v>
          </cell>
          <cell r="I356" t="str">
            <v>-</v>
          </cell>
          <cell r="J356" t="str">
            <v>PAQUETE</v>
          </cell>
        </row>
        <row r="357">
          <cell r="A357" t="str">
            <v>TPB-P</v>
          </cell>
          <cell r="B357"/>
          <cell r="C357"/>
          <cell r="D357" t="str">
            <v>BEBE</v>
          </cell>
          <cell r="E357" t="str">
            <v>TAPETE PLEGABLE CARRUSEL</v>
          </cell>
          <cell r="F357" t="str">
            <v>180*200*1</v>
          </cell>
          <cell r="G357">
            <v>1</v>
          </cell>
          <cell r="H357">
            <v>0</v>
          </cell>
          <cell r="I357" t="str">
            <v>-</v>
          </cell>
          <cell r="J357" t="str">
            <v>PAQUETE</v>
          </cell>
        </row>
        <row r="358">
          <cell r="A358" t="str">
            <v>TPB-Y</v>
          </cell>
          <cell r="B358"/>
          <cell r="C358"/>
          <cell r="D358" t="str">
            <v>BEBE</v>
          </cell>
          <cell r="E358" t="str">
            <v>TAPETE PLEGABLE CONEJO</v>
          </cell>
          <cell r="F358" t="str">
            <v>180*200*1</v>
          </cell>
          <cell r="G358">
            <v>1</v>
          </cell>
          <cell r="H358">
            <v>0</v>
          </cell>
          <cell r="I358">
            <v>1</v>
          </cell>
          <cell r="J358" t="str">
            <v>PAQUETE</v>
          </cell>
        </row>
        <row r="359">
          <cell r="A359" t="str">
            <v>TPB-Z</v>
          </cell>
          <cell r="B359"/>
          <cell r="C359"/>
          <cell r="D359" t="str">
            <v>BEBE</v>
          </cell>
          <cell r="E359" t="str">
            <v>TAPETE PLEGABLE ZORRO</v>
          </cell>
          <cell r="F359" t="str">
            <v>180*200*1</v>
          </cell>
          <cell r="G359">
            <v>1</v>
          </cell>
          <cell r="H359">
            <v>0</v>
          </cell>
          <cell r="I359">
            <v>1</v>
          </cell>
          <cell r="J359" t="str">
            <v>PAQUETE</v>
          </cell>
        </row>
        <row r="360">
          <cell r="A360" t="str">
            <v>BCL-A-1.8</v>
          </cell>
          <cell r="B360"/>
          <cell r="C360"/>
          <cell r="D360" t="str">
            <v>BEBE</v>
          </cell>
          <cell r="E360" t="str">
            <v>BARANDA DE CAMA LATERAL OSO GRIS</v>
          </cell>
          <cell r="F360" t="str">
            <v>1.8 MT</v>
          </cell>
          <cell r="G360">
            <v>1</v>
          </cell>
          <cell r="H360">
            <v>0</v>
          </cell>
          <cell r="I360">
            <v>0</v>
          </cell>
          <cell r="J360" t="str">
            <v>CAJA</v>
          </cell>
        </row>
        <row r="361">
          <cell r="A361" t="str">
            <v>BCL-B-1.8</v>
          </cell>
          <cell r="B361"/>
          <cell r="C361"/>
          <cell r="D361" t="str">
            <v>BEBE</v>
          </cell>
          <cell r="E361" t="str">
            <v>BARANDA DE CAMA LATERAL CONEJO ROSA</v>
          </cell>
          <cell r="F361" t="str">
            <v>1.8 MT</v>
          </cell>
          <cell r="G361">
            <v>1</v>
          </cell>
          <cell r="H361">
            <v>0</v>
          </cell>
          <cell r="I361">
            <v>0</v>
          </cell>
          <cell r="J361" t="str">
            <v>CAJA</v>
          </cell>
        </row>
        <row r="362">
          <cell r="A362" t="str">
            <v>BCL-C-1.8</v>
          </cell>
          <cell r="B362"/>
          <cell r="C362"/>
          <cell r="D362" t="str">
            <v>BEBE</v>
          </cell>
          <cell r="E362" t="str">
            <v>BARANDA DE CAMA LATERAL CONEJO AZUL</v>
          </cell>
          <cell r="F362" t="str">
            <v>1.8 MT</v>
          </cell>
          <cell r="G362">
            <v>1</v>
          </cell>
          <cell r="H362">
            <v>0</v>
          </cell>
          <cell r="I362">
            <v>0</v>
          </cell>
          <cell r="J362" t="str">
            <v>CAJA</v>
          </cell>
        </row>
        <row r="363">
          <cell r="A363" t="str">
            <v>BCL-D-1.8</v>
          </cell>
          <cell r="B363"/>
          <cell r="C363"/>
          <cell r="D363" t="str">
            <v>BEBE</v>
          </cell>
          <cell r="E363" t="str">
            <v>BARANDA DE CAMA LATERAL CONSTRUCTORES AZUL</v>
          </cell>
          <cell r="F363" t="str">
            <v>1.8 MT</v>
          </cell>
          <cell r="G363">
            <v>1</v>
          </cell>
          <cell r="H363">
            <v>0</v>
          </cell>
          <cell r="I363">
            <v>0</v>
          </cell>
          <cell r="J363" t="str">
            <v>CAJA</v>
          </cell>
        </row>
        <row r="364">
          <cell r="A364" t="str">
            <v>BCL-E-1.8</v>
          </cell>
          <cell r="B364"/>
          <cell r="C364"/>
          <cell r="D364" t="str">
            <v>BEBE</v>
          </cell>
          <cell r="E364" t="str">
            <v>BARANDA DE CAMA LATERAL GRIS PLANO</v>
          </cell>
          <cell r="F364" t="str">
            <v>1.8 MT</v>
          </cell>
          <cell r="G364">
            <v>1</v>
          </cell>
          <cell r="H364">
            <v>0</v>
          </cell>
          <cell r="I364">
            <v>0</v>
          </cell>
          <cell r="J364" t="str">
            <v>CAJA</v>
          </cell>
        </row>
        <row r="365">
          <cell r="A365" t="str">
            <v>BCL-F-1.8</v>
          </cell>
          <cell r="B365"/>
          <cell r="C365"/>
          <cell r="D365" t="str">
            <v>BEBE</v>
          </cell>
          <cell r="E365" t="str">
            <v>BARANDA DE CAMA LATERAL ROSA PLANO</v>
          </cell>
          <cell r="F365" t="str">
            <v>1.8 MT</v>
          </cell>
          <cell r="G365">
            <v>1</v>
          </cell>
          <cell r="H365">
            <v>0</v>
          </cell>
          <cell r="I365">
            <v>0</v>
          </cell>
          <cell r="J365" t="str">
            <v>CAJA</v>
          </cell>
        </row>
        <row r="366">
          <cell r="A366" t="str">
            <v>BCL-A-1.2</v>
          </cell>
          <cell r="B366"/>
          <cell r="C366"/>
          <cell r="D366" t="str">
            <v>BEBE</v>
          </cell>
          <cell r="E366" t="str">
            <v xml:space="preserve">BARANDA DE CAMA LATERAL OSO GRIS </v>
          </cell>
          <cell r="F366" t="str">
            <v>1.2 MT</v>
          </cell>
          <cell r="G366">
            <v>1</v>
          </cell>
          <cell r="H366">
            <v>0</v>
          </cell>
          <cell r="I366">
            <v>0</v>
          </cell>
          <cell r="J366" t="str">
            <v>CAJA</v>
          </cell>
        </row>
        <row r="367">
          <cell r="A367" t="str">
            <v>BCL-B-1.2</v>
          </cell>
          <cell r="B367"/>
          <cell r="C367"/>
          <cell r="D367" t="str">
            <v>BEBE</v>
          </cell>
          <cell r="E367" t="str">
            <v>BARANDA DE CAMA LATERAL CONEJO ROSA</v>
          </cell>
          <cell r="F367" t="str">
            <v>1.2 MT</v>
          </cell>
          <cell r="G367">
            <v>1</v>
          </cell>
          <cell r="H367">
            <v>0</v>
          </cell>
          <cell r="I367">
            <v>0</v>
          </cell>
          <cell r="J367" t="str">
            <v>CAJA</v>
          </cell>
        </row>
        <row r="368">
          <cell r="A368" t="str">
            <v>BCL-C-1.2</v>
          </cell>
          <cell r="B368"/>
          <cell r="C368"/>
          <cell r="D368" t="str">
            <v>BEBE</v>
          </cell>
          <cell r="E368" t="str">
            <v>BARANDA DE CAMA LATERAL CONEJO AZUL</v>
          </cell>
          <cell r="F368" t="str">
            <v>1.2 MT</v>
          </cell>
          <cell r="G368">
            <v>1</v>
          </cell>
          <cell r="H368">
            <v>0</v>
          </cell>
          <cell r="I368">
            <v>0</v>
          </cell>
          <cell r="J368" t="str">
            <v>CAJA</v>
          </cell>
        </row>
        <row r="369">
          <cell r="A369" t="str">
            <v>BCL-D-1.2</v>
          </cell>
          <cell r="B369"/>
          <cell r="C369"/>
          <cell r="D369" t="str">
            <v>BEBE</v>
          </cell>
          <cell r="E369" t="str">
            <v>BARANDA DE CAMA LATERAL CONSTRUCTORES AZUL</v>
          </cell>
          <cell r="F369" t="str">
            <v>1.2 MT</v>
          </cell>
          <cell r="G369">
            <v>1</v>
          </cell>
          <cell r="H369">
            <v>0</v>
          </cell>
          <cell r="I369">
            <v>0</v>
          </cell>
          <cell r="J369" t="str">
            <v>CAJA</v>
          </cell>
        </row>
        <row r="370">
          <cell r="A370" t="str">
            <v>BCL-E-1.2</v>
          </cell>
          <cell r="B370"/>
          <cell r="C370"/>
          <cell r="D370" t="str">
            <v>BEBE</v>
          </cell>
          <cell r="E370" t="str">
            <v>BARANDA DE CAMA LATERAL GRIS PLANO</v>
          </cell>
          <cell r="F370" t="str">
            <v>1.2 MT</v>
          </cell>
          <cell r="G370">
            <v>1</v>
          </cell>
          <cell r="H370">
            <v>0</v>
          </cell>
          <cell r="I370">
            <v>0</v>
          </cell>
          <cell r="J370" t="str">
            <v>CAJA</v>
          </cell>
        </row>
        <row r="371">
          <cell r="A371" t="str">
            <v>BCL-F-1.2</v>
          </cell>
          <cell r="B371"/>
          <cell r="C371"/>
          <cell r="D371" t="str">
            <v>BEBE</v>
          </cell>
          <cell r="E371" t="str">
            <v>BARANDA DE CAMA LATERAL ROSA PLANO</v>
          </cell>
          <cell r="F371" t="str">
            <v>1.2 MT</v>
          </cell>
          <cell r="G371">
            <v>1</v>
          </cell>
          <cell r="H371">
            <v>0</v>
          </cell>
          <cell r="I371">
            <v>0</v>
          </cell>
          <cell r="J371" t="str">
            <v>CAJA</v>
          </cell>
        </row>
        <row r="372">
          <cell r="A372" t="str">
            <v>BCL-A-1.5</v>
          </cell>
          <cell r="B372"/>
          <cell r="C372"/>
          <cell r="D372" t="str">
            <v>BEBE</v>
          </cell>
          <cell r="E372" t="str">
            <v>BARANDA DE CAMA LATERAL OSO GRIS</v>
          </cell>
          <cell r="F372" t="str">
            <v>1.5 MT</v>
          </cell>
          <cell r="G372">
            <v>1</v>
          </cell>
          <cell r="H372">
            <v>0</v>
          </cell>
          <cell r="I372">
            <v>0</v>
          </cell>
          <cell r="J372" t="str">
            <v>CAJA</v>
          </cell>
        </row>
        <row r="373">
          <cell r="A373" t="str">
            <v>BCL-B-1.5</v>
          </cell>
          <cell r="B373"/>
          <cell r="C373"/>
          <cell r="D373" t="str">
            <v>BEBE</v>
          </cell>
          <cell r="E373" t="str">
            <v>BARANDA DE CAMA LATERAL CONEJO ROSA</v>
          </cell>
          <cell r="F373" t="str">
            <v>1.5 MT</v>
          </cell>
          <cell r="G373">
            <v>1</v>
          </cell>
          <cell r="H373">
            <v>0</v>
          </cell>
          <cell r="I373">
            <v>0</v>
          </cell>
          <cell r="J373" t="str">
            <v>CAJA</v>
          </cell>
        </row>
        <row r="374">
          <cell r="A374" t="str">
            <v>BCL-C-1.5</v>
          </cell>
          <cell r="B374"/>
          <cell r="C374"/>
          <cell r="D374" t="str">
            <v>BEBE</v>
          </cell>
          <cell r="E374" t="str">
            <v>BARANDA DE CAMA LATERAL CONEJO AZUL</v>
          </cell>
          <cell r="F374" t="str">
            <v>1.5 MT</v>
          </cell>
          <cell r="G374">
            <v>1</v>
          </cell>
          <cell r="H374">
            <v>0</v>
          </cell>
          <cell r="I374">
            <v>0</v>
          </cell>
          <cell r="J374" t="str">
            <v>CAJA</v>
          </cell>
        </row>
        <row r="375">
          <cell r="A375" t="str">
            <v>BCL-D-1.5</v>
          </cell>
          <cell r="B375"/>
          <cell r="C375"/>
          <cell r="D375" t="str">
            <v>BEBE</v>
          </cell>
          <cell r="E375" t="str">
            <v>BARANDA DE CAMA LATERAL CONSTRUCTORES AZUL</v>
          </cell>
          <cell r="F375" t="str">
            <v>1.5 MT</v>
          </cell>
          <cell r="G375">
            <v>1</v>
          </cell>
          <cell r="H375">
            <v>0</v>
          </cell>
          <cell r="I375">
            <v>0</v>
          </cell>
          <cell r="J375" t="str">
            <v>CAJA</v>
          </cell>
        </row>
        <row r="376">
          <cell r="A376" t="str">
            <v>BCL-E-1.5</v>
          </cell>
          <cell r="B376"/>
          <cell r="C376"/>
          <cell r="D376" t="str">
            <v>BEBE</v>
          </cell>
          <cell r="E376" t="str">
            <v>BARANDA DE CAMA LATERAL GRIS PLANO</v>
          </cell>
          <cell r="F376" t="str">
            <v>1.5 MT</v>
          </cell>
          <cell r="G376">
            <v>1</v>
          </cell>
          <cell r="H376">
            <v>0</v>
          </cell>
          <cell r="I376">
            <v>0</v>
          </cell>
          <cell r="J376" t="str">
            <v>CAJA</v>
          </cell>
        </row>
        <row r="377">
          <cell r="A377" t="str">
            <v>SPS-A</v>
          </cell>
          <cell r="B377"/>
          <cell r="C377"/>
          <cell r="D377" t="str">
            <v>BEBE</v>
          </cell>
          <cell r="E377" t="str">
            <v>VAJILLA BEBÉ SILICONA AZUL</v>
          </cell>
          <cell r="F377" t="str">
            <v>SETX9</v>
          </cell>
          <cell r="G377">
            <v>1</v>
          </cell>
          <cell r="H377">
            <v>0</v>
          </cell>
          <cell r="I377">
            <v>0</v>
          </cell>
          <cell r="J377" t="str">
            <v>CAJA</v>
          </cell>
        </row>
        <row r="378">
          <cell r="A378" t="str">
            <v>SPS-B</v>
          </cell>
          <cell r="B378"/>
          <cell r="C378"/>
          <cell r="D378" t="str">
            <v>BEBE</v>
          </cell>
          <cell r="E378" t="str">
            <v>VAJILLA BEBÉ SILICONA ROSA</v>
          </cell>
          <cell r="F378" t="str">
            <v>SETX9</v>
          </cell>
          <cell r="G378">
            <v>1</v>
          </cell>
          <cell r="H378">
            <v>0</v>
          </cell>
          <cell r="I378">
            <v>0</v>
          </cell>
          <cell r="J378" t="str">
            <v>CAJA</v>
          </cell>
        </row>
        <row r="379">
          <cell r="A379" t="str">
            <v>SPS-C</v>
          </cell>
          <cell r="B379"/>
          <cell r="C379"/>
          <cell r="D379" t="str">
            <v>BEBE</v>
          </cell>
          <cell r="E379" t="str">
            <v>VAJILLA BEBÉ SILICONA GRIS</v>
          </cell>
          <cell r="F379" t="str">
            <v>SETX9</v>
          </cell>
          <cell r="G379">
            <v>1</v>
          </cell>
          <cell r="H379">
            <v>0</v>
          </cell>
          <cell r="I379">
            <v>0</v>
          </cell>
          <cell r="J379" t="str">
            <v>CAJA</v>
          </cell>
        </row>
        <row r="380">
          <cell r="A380" t="str">
            <v>SPS-D</v>
          </cell>
          <cell r="B380"/>
          <cell r="C380"/>
          <cell r="D380" t="str">
            <v>BEBE</v>
          </cell>
          <cell r="E380" t="str">
            <v>VAJILLA BEBÉ SILICONA VERDE</v>
          </cell>
          <cell r="F380" t="str">
            <v>SETX9</v>
          </cell>
          <cell r="G380">
            <v>1</v>
          </cell>
          <cell r="H380">
            <v>0</v>
          </cell>
          <cell r="I380">
            <v>0</v>
          </cell>
          <cell r="J380" t="str">
            <v>CAJA</v>
          </cell>
        </row>
        <row r="381">
          <cell r="A381" t="str">
            <v>DKSPC-11</v>
          </cell>
          <cell r="B381"/>
          <cell r="C381"/>
          <cell r="D381" t="str">
            <v>BEBE</v>
          </cell>
          <cell r="E381" t="str">
            <v>VAJILLA SILICONA BUHO VERDE OLIVA</v>
          </cell>
          <cell r="F381" t="str">
            <v>SETX8</v>
          </cell>
          <cell r="G381">
            <v>1</v>
          </cell>
          <cell r="H381">
            <v>0</v>
          </cell>
          <cell r="I381">
            <v>0</v>
          </cell>
          <cell r="J381" t="str">
            <v>CAJA</v>
          </cell>
        </row>
        <row r="382">
          <cell r="A382" t="str">
            <v>DKSPC-12</v>
          </cell>
          <cell r="B382"/>
          <cell r="C382"/>
          <cell r="D382" t="str">
            <v>BEBE</v>
          </cell>
          <cell r="E382" t="str">
            <v>VAJILLA SILICONA BUHO TURQUESA</v>
          </cell>
          <cell r="F382" t="str">
            <v>SETX8</v>
          </cell>
          <cell r="G382">
            <v>1</v>
          </cell>
          <cell r="H382">
            <v>0</v>
          </cell>
          <cell r="I382">
            <v>0</v>
          </cell>
          <cell r="J382" t="str">
            <v>CAJA</v>
          </cell>
        </row>
        <row r="383">
          <cell r="A383" t="str">
            <v>DKSPC-13</v>
          </cell>
          <cell r="B383"/>
          <cell r="C383"/>
          <cell r="D383" t="str">
            <v>BEBE</v>
          </cell>
          <cell r="E383" t="str">
            <v>VAJILLA SILICONA BUHO ROSA FRESA</v>
          </cell>
          <cell r="F383" t="str">
            <v>SETX8</v>
          </cell>
          <cell r="G383">
            <v>1</v>
          </cell>
          <cell r="H383">
            <v>0</v>
          </cell>
          <cell r="I383">
            <v>0</v>
          </cell>
          <cell r="J383" t="str">
            <v>CAJA</v>
          </cell>
        </row>
        <row r="384">
          <cell r="A384" t="str">
            <v>DKSPC-14</v>
          </cell>
          <cell r="B384"/>
          <cell r="C384"/>
          <cell r="D384" t="str">
            <v>BEBE</v>
          </cell>
          <cell r="E384" t="str">
            <v>VAJILLA SILICONA BUHO GRIS</v>
          </cell>
          <cell r="F384" t="str">
            <v>SETX8</v>
          </cell>
          <cell r="G384">
            <v>1</v>
          </cell>
          <cell r="H384">
            <v>0</v>
          </cell>
          <cell r="I384">
            <v>0</v>
          </cell>
          <cell r="J384" t="str">
            <v>CAJA</v>
          </cell>
        </row>
        <row r="385">
          <cell r="A385" t="str">
            <v>DKSPC-15</v>
          </cell>
          <cell r="B385"/>
          <cell r="C385"/>
          <cell r="D385" t="str">
            <v>BEBE</v>
          </cell>
          <cell r="E385" t="str">
            <v>VAJILLA SILICONA BUHO TERRACOTA</v>
          </cell>
          <cell r="F385" t="str">
            <v>SETX8</v>
          </cell>
          <cell r="G385">
            <v>1</v>
          </cell>
          <cell r="H385">
            <v>0</v>
          </cell>
          <cell r="I385">
            <v>0</v>
          </cell>
          <cell r="J385" t="str">
            <v>CAJA</v>
          </cell>
        </row>
        <row r="386">
          <cell r="A386" t="str">
            <v>DKSPC-16</v>
          </cell>
          <cell r="B386"/>
          <cell r="C386"/>
          <cell r="D386" t="str">
            <v>BEBE</v>
          </cell>
          <cell r="E386" t="str">
            <v>VAJILLA SILICONA BUHO PALO ROSA</v>
          </cell>
          <cell r="F386" t="str">
            <v>SETX8</v>
          </cell>
          <cell r="G386">
            <v>1</v>
          </cell>
          <cell r="H386">
            <v>0</v>
          </cell>
          <cell r="I386">
            <v>0</v>
          </cell>
          <cell r="J386" t="str">
            <v>CAJA</v>
          </cell>
        </row>
        <row r="387">
          <cell r="A387" t="str">
            <v>DKSPC-17</v>
          </cell>
          <cell r="B387"/>
          <cell r="C387"/>
          <cell r="D387" t="str">
            <v>BEBE</v>
          </cell>
          <cell r="E387" t="str">
            <v>VAJILLA SILICONA BUHO VERDE OSCURO</v>
          </cell>
          <cell r="F387" t="str">
            <v>SETX8</v>
          </cell>
          <cell r="G387">
            <v>1</v>
          </cell>
          <cell r="H387">
            <v>0</v>
          </cell>
          <cell r="I387">
            <v>0</v>
          </cell>
          <cell r="J387" t="str">
            <v>CAJA</v>
          </cell>
        </row>
        <row r="388">
          <cell r="A388" t="str">
            <v>DKSPC-21</v>
          </cell>
          <cell r="B388"/>
          <cell r="C388"/>
          <cell r="D388" t="str">
            <v>BEBE</v>
          </cell>
          <cell r="E388" t="str">
            <v>VAJILLA SILICONA DINOSAURIO VERDE OLIVA</v>
          </cell>
          <cell r="F388" t="str">
            <v>SETX8</v>
          </cell>
          <cell r="G388">
            <v>1</v>
          </cell>
          <cell r="H388">
            <v>0</v>
          </cell>
          <cell r="I388">
            <v>0</v>
          </cell>
          <cell r="J388" t="str">
            <v>CAJA</v>
          </cell>
        </row>
        <row r="389">
          <cell r="A389" t="str">
            <v>DKSPC-22</v>
          </cell>
          <cell r="B389"/>
          <cell r="C389"/>
          <cell r="D389" t="str">
            <v>BEBE</v>
          </cell>
          <cell r="E389" t="str">
            <v>VAJILLA SILICONA DINOSAURIO TURQUESA</v>
          </cell>
          <cell r="F389" t="str">
            <v>SETX8</v>
          </cell>
          <cell r="G389">
            <v>1</v>
          </cell>
          <cell r="H389">
            <v>0</v>
          </cell>
          <cell r="I389">
            <v>0</v>
          </cell>
          <cell r="J389" t="str">
            <v>CAJA</v>
          </cell>
        </row>
        <row r="390">
          <cell r="A390" t="str">
            <v>DKSPC-23</v>
          </cell>
          <cell r="B390"/>
          <cell r="C390"/>
          <cell r="D390" t="str">
            <v>BEBE</v>
          </cell>
          <cell r="E390" t="str">
            <v>VAJILLA SILICONA DINOSAURIO ROSA FRESA</v>
          </cell>
          <cell r="F390" t="str">
            <v>SETX8</v>
          </cell>
          <cell r="G390">
            <v>1</v>
          </cell>
          <cell r="H390">
            <v>0</v>
          </cell>
          <cell r="I390">
            <v>0</v>
          </cell>
          <cell r="J390" t="str">
            <v>CAJA</v>
          </cell>
        </row>
        <row r="391">
          <cell r="A391" t="str">
            <v>DKSPC-24</v>
          </cell>
          <cell r="B391"/>
          <cell r="C391"/>
          <cell r="D391" t="str">
            <v>BEBE</v>
          </cell>
          <cell r="E391" t="str">
            <v>VAJILLA SILICONA DINOSAURIO GRIS</v>
          </cell>
          <cell r="F391" t="str">
            <v>SETX8</v>
          </cell>
          <cell r="G391">
            <v>1</v>
          </cell>
          <cell r="H391">
            <v>0</v>
          </cell>
          <cell r="I391">
            <v>0</v>
          </cell>
          <cell r="J391" t="str">
            <v>CAJA</v>
          </cell>
        </row>
        <row r="392">
          <cell r="A392" t="str">
            <v>DKSPC-25</v>
          </cell>
          <cell r="B392"/>
          <cell r="C392"/>
          <cell r="D392" t="str">
            <v>BEBE</v>
          </cell>
          <cell r="E392" t="str">
            <v>VAJILLA SILICONA DINOSAURIO TERRACOTA</v>
          </cell>
          <cell r="F392" t="str">
            <v>SETX8</v>
          </cell>
          <cell r="G392">
            <v>1</v>
          </cell>
          <cell r="H392">
            <v>0</v>
          </cell>
          <cell r="I392">
            <v>0</v>
          </cell>
          <cell r="J392" t="str">
            <v>CAJA</v>
          </cell>
        </row>
        <row r="393">
          <cell r="A393" t="str">
            <v>DKSPC-26</v>
          </cell>
          <cell r="B393"/>
          <cell r="C393"/>
          <cell r="D393" t="str">
            <v>BEBE</v>
          </cell>
          <cell r="E393" t="str">
            <v>VAJILLA SILICONA DINOSAURIO PALO ROSA</v>
          </cell>
          <cell r="F393" t="str">
            <v>SETX8</v>
          </cell>
          <cell r="G393">
            <v>1</v>
          </cell>
          <cell r="H393">
            <v>0</v>
          </cell>
          <cell r="I393">
            <v>0</v>
          </cell>
          <cell r="J393" t="str">
            <v>CAJA</v>
          </cell>
        </row>
        <row r="394">
          <cell r="A394" t="str">
            <v>DKSPC-27</v>
          </cell>
          <cell r="B394"/>
          <cell r="C394"/>
          <cell r="D394" t="str">
            <v>BEBE</v>
          </cell>
          <cell r="E394" t="str">
            <v>VAJILLA SILICONA DINOSAURIO VERDE OSCURO</v>
          </cell>
          <cell r="F394" t="str">
            <v>SETX8</v>
          </cell>
          <cell r="G394">
            <v>1</v>
          </cell>
          <cell r="H394">
            <v>0</v>
          </cell>
          <cell r="I394">
            <v>0</v>
          </cell>
          <cell r="J394" t="str">
            <v>CAJA</v>
          </cell>
        </row>
        <row r="395">
          <cell r="A395" t="str">
            <v>DKSPC-31</v>
          </cell>
          <cell r="B395"/>
          <cell r="C395"/>
          <cell r="D395" t="str">
            <v>BEBE</v>
          </cell>
          <cell r="E395" t="str">
            <v>VAJILLA SILICONA VERDE OLIVA</v>
          </cell>
          <cell r="F395" t="str">
            <v>SETX8</v>
          </cell>
          <cell r="G395">
            <v>1</v>
          </cell>
          <cell r="H395">
            <v>0</v>
          </cell>
          <cell r="I395">
            <v>0</v>
          </cell>
          <cell r="J395" t="str">
            <v>CAJA</v>
          </cell>
        </row>
        <row r="396">
          <cell r="A396" t="str">
            <v>DKSPC-32</v>
          </cell>
          <cell r="B396"/>
          <cell r="C396"/>
          <cell r="D396" t="str">
            <v>BEBE</v>
          </cell>
          <cell r="E396" t="str">
            <v>VAJILLA SILICONA ARCOIRIS TURQUESA</v>
          </cell>
          <cell r="F396" t="str">
            <v>SETX8</v>
          </cell>
          <cell r="G396">
            <v>1</v>
          </cell>
          <cell r="H396">
            <v>0</v>
          </cell>
          <cell r="I396">
            <v>0</v>
          </cell>
          <cell r="J396" t="str">
            <v>CAJA</v>
          </cell>
        </row>
        <row r="397">
          <cell r="A397" t="str">
            <v>DKSPC-33</v>
          </cell>
          <cell r="B397"/>
          <cell r="C397"/>
          <cell r="D397" t="str">
            <v>BEBE</v>
          </cell>
          <cell r="E397" t="str">
            <v>VAJILLA SILICONA ARCOIRIS ROSA FRESA</v>
          </cell>
          <cell r="F397" t="str">
            <v>SETX8</v>
          </cell>
          <cell r="G397">
            <v>1</v>
          </cell>
          <cell r="H397">
            <v>0</v>
          </cell>
          <cell r="I397">
            <v>0</v>
          </cell>
          <cell r="J397" t="str">
            <v>CAJA</v>
          </cell>
        </row>
        <row r="398">
          <cell r="A398" t="str">
            <v>DKSPC-34</v>
          </cell>
          <cell r="B398"/>
          <cell r="C398"/>
          <cell r="D398" t="str">
            <v>BEBE</v>
          </cell>
          <cell r="E398" t="str">
            <v>VAJILLA SILICONA ARCOIRIS GRIS</v>
          </cell>
          <cell r="F398" t="str">
            <v>SETX8</v>
          </cell>
          <cell r="G398">
            <v>1</v>
          </cell>
          <cell r="H398">
            <v>0</v>
          </cell>
          <cell r="I398">
            <v>0</v>
          </cell>
          <cell r="J398" t="str">
            <v>CAJA</v>
          </cell>
        </row>
        <row r="399">
          <cell r="A399" t="str">
            <v>DKSPC-35</v>
          </cell>
          <cell r="B399"/>
          <cell r="C399"/>
          <cell r="D399" t="str">
            <v>BEBE</v>
          </cell>
          <cell r="E399" t="str">
            <v>VAJILLA SILICONATERRACOTA</v>
          </cell>
          <cell r="F399" t="str">
            <v>SETX8</v>
          </cell>
          <cell r="G399">
            <v>1</v>
          </cell>
          <cell r="H399">
            <v>0</v>
          </cell>
          <cell r="I399">
            <v>0</v>
          </cell>
          <cell r="J399" t="str">
            <v>CAJA</v>
          </cell>
        </row>
        <row r="400">
          <cell r="A400" t="str">
            <v>DKSPC-36</v>
          </cell>
          <cell r="B400"/>
          <cell r="C400"/>
          <cell r="D400" t="str">
            <v>BEBE</v>
          </cell>
          <cell r="E400" t="str">
            <v>VAJILLA SILICONA PALO ROSA</v>
          </cell>
          <cell r="F400" t="str">
            <v>SETX8</v>
          </cell>
          <cell r="G400">
            <v>1</v>
          </cell>
          <cell r="H400">
            <v>0</v>
          </cell>
          <cell r="I400">
            <v>0</v>
          </cell>
          <cell r="J400" t="str">
            <v>CAJA</v>
          </cell>
        </row>
        <row r="401">
          <cell r="A401" t="str">
            <v>DKSPC-37</v>
          </cell>
          <cell r="B401"/>
          <cell r="C401"/>
          <cell r="D401" t="str">
            <v>BEBE</v>
          </cell>
          <cell r="E401" t="str">
            <v>VAJILLA SILICONA VERDE OSCURO</v>
          </cell>
          <cell r="F401" t="str">
            <v>SETX8</v>
          </cell>
          <cell r="G401">
            <v>1</v>
          </cell>
          <cell r="H401">
            <v>0</v>
          </cell>
          <cell r="I401">
            <v>0</v>
          </cell>
          <cell r="J401" t="str">
            <v>CAJA</v>
          </cell>
        </row>
        <row r="402">
          <cell r="A402" t="str">
            <v>DKSPC-41</v>
          </cell>
          <cell r="B402"/>
          <cell r="C402"/>
          <cell r="D402" t="str">
            <v>BEBE</v>
          </cell>
          <cell r="E402" t="str">
            <v>VAJILLA SILICONA CARROS VERDE OLIVA</v>
          </cell>
          <cell r="F402" t="str">
            <v>SETX8</v>
          </cell>
          <cell r="G402">
            <v>1</v>
          </cell>
          <cell r="H402">
            <v>0</v>
          </cell>
          <cell r="I402">
            <v>0</v>
          </cell>
          <cell r="J402" t="str">
            <v>CAJA</v>
          </cell>
        </row>
        <row r="403">
          <cell r="A403" t="str">
            <v>DKSPC-42</v>
          </cell>
          <cell r="B403"/>
          <cell r="C403"/>
          <cell r="D403" t="str">
            <v>BEBE</v>
          </cell>
          <cell r="E403" t="str">
            <v>VAJILLA SILICONA CARROS TURQUESA</v>
          </cell>
          <cell r="F403" t="str">
            <v>SETX8</v>
          </cell>
          <cell r="G403">
            <v>1</v>
          </cell>
          <cell r="H403">
            <v>0</v>
          </cell>
          <cell r="I403">
            <v>0</v>
          </cell>
          <cell r="J403" t="str">
            <v>CAJA</v>
          </cell>
        </row>
        <row r="404">
          <cell r="A404" t="str">
            <v>DKSPC-44</v>
          </cell>
          <cell r="B404"/>
          <cell r="C404"/>
          <cell r="D404" t="str">
            <v>BEBE</v>
          </cell>
          <cell r="E404" t="str">
            <v>VAJILLA SILICONA CARROS GRIS</v>
          </cell>
          <cell r="F404" t="str">
            <v>SETX8</v>
          </cell>
          <cell r="G404">
            <v>1</v>
          </cell>
          <cell r="H404">
            <v>0</v>
          </cell>
          <cell r="I404">
            <v>0</v>
          </cell>
          <cell r="J404" t="str">
            <v>CAJA</v>
          </cell>
        </row>
        <row r="405">
          <cell r="A405" t="str">
            <v>DKSPC-45</v>
          </cell>
          <cell r="B405"/>
          <cell r="C405"/>
          <cell r="D405" t="str">
            <v>BEBE</v>
          </cell>
          <cell r="E405" t="str">
            <v>VAJILLA SILICONA CARROS TERRACOTA</v>
          </cell>
          <cell r="F405" t="str">
            <v>SETX8</v>
          </cell>
          <cell r="G405">
            <v>1</v>
          </cell>
          <cell r="H405">
            <v>0</v>
          </cell>
          <cell r="I405">
            <v>0</v>
          </cell>
          <cell r="J405" t="str">
            <v>CAJA</v>
          </cell>
        </row>
        <row r="406">
          <cell r="A406" t="str">
            <v>DKSPC-43</v>
          </cell>
          <cell r="B406"/>
          <cell r="C406"/>
          <cell r="D406" t="str">
            <v>BEBE</v>
          </cell>
          <cell r="E406" t="str">
            <v>VAJILLA SILICONA CARROS VERDE OSCURO</v>
          </cell>
          <cell r="F406" t="str">
            <v>SETX8</v>
          </cell>
          <cell r="G406">
            <v>1</v>
          </cell>
          <cell r="H406">
            <v>0</v>
          </cell>
          <cell r="I406">
            <v>0</v>
          </cell>
          <cell r="J406" t="str">
            <v>CAJA</v>
          </cell>
        </row>
        <row r="407">
          <cell r="A407" t="str">
            <v>MHPS-1</v>
          </cell>
          <cell r="B407"/>
          <cell r="C407"/>
          <cell r="D407" t="str">
            <v>BEBE</v>
          </cell>
          <cell r="E407" t="str">
            <v>MOLDE HELADOS SILICONA PEQUEÑO FUCSIA</v>
          </cell>
          <cell r="F407" t="str">
            <v>-</v>
          </cell>
          <cell r="G407">
            <v>1</v>
          </cell>
          <cell r="H407">
            <v>0</v>
          </cell>
          <cell r="I407">
            <v>0</v>
          </cell>
          <cell r="J407" t="str">
            <v>PC</v>
          </cell>
        </row>
        <row r="408">
          <cell r="A408" t="str">
            <v>MHPS-2</v>
          </cell>
          <cell r="B408"/>
          <cell r="C408"/>
          <cell r="D408" t="str">
            <v>BEBE</v>
          </cell>
          <cell r="E408" t="str">
            <v>MOLDE HELADOS SILICONA PEQUEÑO MORADO</v>
          </cell>
          <cell r="F408" t="str">
            <v>-</v>
          </cell>
          <cell r="G408">
            <v>1</v>
          </cell>
          <cell r="H408">
            <v>0</v>
          </cell>
          <cell r="I408">
            <v>0</v>
          </cell>
          <cell r="J408" t="str">
            <v>PC</v>
          </cell>
        </row>
        <row r="409">
          <cell r="A409" t="str">
            <v>MHPS-3</v>
          </cell>
          <cell r="B409"/>
          <cell r="C409"/>
          <cell r="D409" t="str">
            <v>BEBE</v>
          </cell>
          <cell r="E409" t="str">
            <v>MOLDE HELADOS SILICONA PEQUEÑO AZUL</v>
          </cell>
          <cell r="F409" t="str">
            <v>-</v>
          </cell>
          <cell r="G409">
            <v>1</v>
          </cell>
          <cell r="H409">
            <v>0</v>
          </cell>
          <cell r="I409">
            <v>0</v>
          </cell>
          <cell r="J409" t="str">
            <v>PC</v>
          </cell>
        </row>
        <row r="410">
          <cell r="A410" t="str">
            <v>MHPS-4</v>
          </cell>
          <cell r="B410"/>
          <cell r="C410"/>
          <cell r="D410" t="str">
            <v>BEBE</v>
          </cell>
          <cell r="E410" t="str">
            <v>MOLDE HELADOS SILICONA PEQUEÑO VERDE</v>
          </cell>
          <cell r="F410" t="str">
            <v>-</v>
          </cell>
          <cell r="G410">
            <v>1</v>
          </cell>
          <cell r="H410">
            <v>0</v>
          </cell>
          <cell r="I410">
            <v>0</v>
          </cell>
          <cell r="J410" t="str">
            <v>PC</v>
          </cell>
        </row>
        <row r="411">
          <cell r="A411" t="str">
            <v>HF</v>
          </cell>
          <cell r="B411"/>
          <cell r="C411"/>
          <cell r="D411" t="str">
            <v>BEBE</v>
          </cell>
          <cell r="E411" t="str">
            <v>TAPETE PLEGABLE DE BEBE</v>
          </cell>
          <cell r="F411" t="str">
            <v>180*200*1</v>
          </cell>
          <cell r="G411">
            <v>1</v>
          </cell>
          <cell r="H411">
            <v>0</v>
          </cell>
          <cell r="I411">
            <v>0</v>
          </cell>
          <cell r="J411" t="str">
            <v>PC</v>
          </cell>
        </row>
        <row r="412">
          <cell r="A412" t="str">
            <v>DKRL-30</v>
          </cell>
          <cell r="B412"/>
          <cell r="C412"/>
          <cell r="D412" t="str">
            <v>BEBE</v>
          </cell>
          <cell r="E412" t="str">
            <v>BOLSA ALMACENADORA DE LECHE X 30</v>
          </cell>
          <cell r="F412" t="str">
            <v>SETX30</v>
          </cell>
          <cell r="G412">
            <v>1</v>
          </cell>
          <cell r="H412">
            <v>0</v>
          </cell>
          <cell r="I412">
            <v>0</v>
          </cell>
          <cell r="J412" t="str">
            <v>PC</v>
          </cell>
        </row>
        <row r="413">
          <cell r="A413" t="str">
            <v>ASE-1</v>
          </cell>
          <cell r="B413"/>
          <cell r="C413"/>
          <cell r="D413" t="str">
            <v>BEBE</v>
          </cell>
          <cell r="E413" t="str">
            <v>ADAPTADOR DE SANITARIO INFANTIL GRIS</v>
          </cell>
          <cell r="F413" t="str">
            <v>54CM*20CM</v>
          </cell>
          <cell r="G413">
            <v>1</v>
          </cell>
          <cell r="H413"/>
          <cell r="I413"/>
          <cell r="J413" t="str">
            <v>PC</v>
          </cell>
        </row>
        <row r="414">
          <cell r="A414" t="str">
            <v>ASE-2</v>
          </cell>
          <cell r="B414"/>
          <cell r="C414"/>
          <cell r="D414" t="str">
            <v>BEBE</v>
          </cell>
          <cell r="E414" t="str">
            <v>ADAPTADOR DE SANITARIO INFANTIL  AZUL</v>
          </cell>
          <cell r="F414" t="str">
            <v>54CM*20CM</v>
          </cell>
          <cell r="G414">
            <v>1</v>
          </cell>
          <cell r="H414"/>
          <cell r="I414"/>
          <cell r="J414" t="str">
            <v>PC</v>
          </cell>
        </row>
        <row r="415">
          <cell r="A415" t="str">
            <v>ASE-3</v>
          </cell>
          <cell r="B415"/>
          <cell r="C415"/>
          <cell r="D415" t="str">
            <v>BEBE</v>
          </cell>
          <cell r="E415" t="str">
            <v>ADAPTADOR DE SANITARIO INFANTIL ROSADO</v>
          </cell>
          <cell r="F415" t="str">
            <v>59CM*37CM</v>
          </cell>
          <cell r="G415">
            <v>1</v>
          </cell>
          <cell r="H415"/>
          <cell r="I415"/>
          <cell r="J415" t="str">
            <v>PC</v>
          </cell>
        </row>
        <row r="416">
          <cell r="A416" t="str">
            <v>VBA-101</v>
          </cell>
          <cell r="B416"/>
          <cell r="C416"/>
          <cell r="D416" t="str">
            <v>BEBE</v>
          </cell>
          <cell r="E416" t="str">
            <v>ADAPTADOR/VASENILLA INFANTIL GRIS /3 EN 1</v>
          </cell>
          <cell r="F416" t="str">
            <v>29CM*37CM*31CM</v>
          </cell>
          <cell r="G416">
            <v>1</v>
          </cell>
          <cell r="H416">
            <v>1</v>
          </cell>
          <cell r="I416">
            <v>1</v>
          </cell>
          <cell r="J416" t="str">
            <v>PC</v>
          </cell>
        </row>
        <row r="417">
          <cell r="A417" t="str">
            <v>VAD-11</v>
          </cell>
          <cell r="B417"/>
          <cell r="C417"/>
          <cell r="D417" t="str">
            <v>BEBE</v>
          </cell>
          <cell r="E417" t="str">
            <v>VASO ENTRENADOR INFANTAL ANTIDERRAME VERDE</v>
          </cell>
          <cell r="F417" t="str">
            <v>12.4CM *12.5CM</v>
          </cell>
          <cell r="G417">
            <v>1</v>
          </cell>
          <cell r="H417"/>
          <cell r="I417"/>
          <cell r="J417" t="str">
            <v>PC</v>
          </cell>
        </row>
        <row r="418">
          <cell r="A418" t="str">
            <v>VAD-12</v>
          </cell>
          <cell r="B418"/>
          <cell r="C418"/>
          <cell r="D418" t="str">
            <v>BEBE</v>
          </cell>
          <cell r="E418" t="str">
            <v>VASO ENTRENADOR INFANTAL ANTIDERRAME ROJO</v>
          </cell>
          <cell r="F418" t="str">
            <v>12.4CM *12.5CM</v>
          </cell>
          <cell r="G418">
            <v>1</v>
          </cell>
          <cell r="H418"/>
          <cell r="I418"/>
          <cell r="J418" t="str">
            <v>PC</v>
          </cell>
        </row>
        <row r="419">
          <cell r="A419" t="str">
            <v>VAD-13</v>
          </cell>
          <cell r="B419"/>
          <cell r="C419"/>
          <cell r="D419" t="str">
            <v>BEBE</v>
          </cell>
          <cell r="E419" t="str">
            <v>VASO ENTRENADOR INFANTAL ANTIDERRAME AZUL</v>
          </cell>
          <cell r="F419" t="str">
            <v>12.4CM *12.5CM</v>
          </cell>
          <cell r="G419">
            <v>1</v>
          </cell>
          <cell r="H419"/>
          <cell r="I419"/>
          <cell r="J419" t="str">
            <v>PC</v>
          </cell>
        </row>
        <row r="420">
          <cell r="A420" t="str">
            <v>ET-154WG</v>
          </cell>
          <cell r="B420"/>
          <cell r="C420"/>
          <cell r="D420" t="str">
            <v>BAÑO</v>
          </cell>
          <cell r="E420" t="str">
            <v>LAVAMANOS POCETA BLANCA DORADO</v>
          </cell>
          <cell r="F420" t="str">
            <v>360MM*360MM*120MM</v>
          </cell>
          <cell r="G420">
            <v>1</v>
          </cell>
          <cell r="H420">
            <v>0</v>
          </cell>
          <cell r="I420">
            <v>0</v>
          </cell>
          <cell r="J420" t="str">
            <v>PC</v>
          </cell>
        </row>
        <row r="421">
          <cell r="A421" t="str">
            <v>D05</v>
          </cell>
          <cell r="B421"/>
          <cell r="C421"/>
          <cell r="D421" t="str">
            <v>BAÑO</v>
          </cell>
          <cell r="E421" t="str">
            <v>GRIFERIA LP AGUA FRIA PICO CURVO SATINADA BAJA</v>
          </cell>
          <cell r="F421" t="str">
            <v>-</v>
          </cell>
          <cell r="G421">
            <v>1</v>
          </cell>
          <cell r="H421">
            <v>0</v>
          </cell>
          <cell r="I421">
            <v>0</v>
          </cell>
          <cell r="J421" t="str">
            <v>PC</v>
          </cell>
        </row>
        <row r="422">
          <cell r="A422" t="str">
            <v>RP013</v>
          </cell>
          <cell r="B422"/>
          <cell r="C422"/>
          <cell r="D422" t="str">
            <v>COCINA</v>
          </cell>
          <cell r="E422" t="str">
            <v>CANASTILLA DE LAVAPLATOS</v>
          </cell>
          <cell r="F422" t="str">
            <v>-</v>
          </cell>
          <cell r="G422">
            <v>1</v>
          </cell>
          <cell r="H422">
            <v>0</v>
          </cell>
          <cell r="I422">
            <v>0</v>
          </cell>
          <cell r="J422" t="str">
            <v>PC</v>
          </cell>
        </row>
        <row r="423">
          <cell r="A423" t="str">
            <v>1011ZS-1</v>
          </cell>
          <cell r="B423"/>
          <cell r="C423"/>
          <cell r="D423" t="str">
            <v>BAÑO</v>
          </cell>
          <cell r="E423" t="str">
            <v>DESAGUE PUSH EN ZINC CROMADO SIN TUBO</v>
          </cell>
          <cell r="F423" t="str">
            <v>-</v>
          </cell>
          <cell r="G423">
            <v>1</v>
          </cell>
          <cell r="H423">
            <v>0</v>
          </cell>
          <cell r="I423">
            <v>0</v>
          </cell>
          <cell r="J423" t="str">
            <v>PC</v>
          </cell>
        </row>
        <row r="424">
          <cell r="A424" t="str">
            <v>D15B</v>
          </cell>
          <cell r="B424"/>
          <cell r="C424"/>
          <cell r="D424" t="str">
            <v>BAÑO</v>
          </cell>
          <cell r="E424" t="str">
            <v>GRIFERIA LVM 304 AGUA FRIA CUADRADA NEGRA BAJA</v>
          </cell>
          <cell r="F424" t="str">
            <v>-</v>
          </cell>
          <cell r="G424">
            <v>1</v>
          </cell>
          <cell r="H424">
            <v>0</v>
          </cell>
          <cell r="I424">
            <v>0</v>
          </cell>
          <cell r="J424" t="str">
            <v>PC</v>
          </cell>
        </row>
        <row r="425">
          <cell r="A425" t="str">
            <v>Z08</v>
          </cell>
          <cell r="B425"/>
          <cell r="C425"/>
          <cell r="D425" t="str">
            <v>COCINA</v>
          </cell>
          <cell r="E425" t="str">
            <v>GRIFERIA AGUA FRIA FLEXIBLE NEGRA</v>
          </cell>
          <cell r="F425" t="str">
            <v>-</v>
          </cell>
          <cell r="G425">
            <v>1</v>
          </cell>
          <cell r="H425">
            <v>0</v>
          </cell>
          <cell r="I425">
            <v>0</v>
          </cell>
          <cell r="J425" t="str">
            <v>PC</v>
          </cell>
        </row>
        <row r="426">
          <cell r="A426" t="str">
            <v>D10B</v>
          </cell>
          <cell r="B426"/>
          <cell r="C426"/>
          <cell r="D426" t="str">
            <v>BAÑO</v>
          </cell>
          <cell r="E426" t="str">
            <v>GRIFERIA LVM AGUA FRIA CUADRADA NEGRA BAJA</v>
          </cell>
          <cell r="F426" t="str">
            <v>-</v>
          </cell>
          <cell r="G426">
            <v>1</v>
          </cell>
          <cell r="H426">
            <v>0</v>
          </cell>
          <cell r="I426">
            <v>0</v>
          </cell>
          <cell r="J426" t="str">
            <v>PC</v>
          </cell>
        </row>
        <row r="427">
          <cell r="A427" t="str">
            <v>G-S-4B</v>
          </cell>
          <cell r="B427"/>
          <cell r="C427"/>
          <cell r="D427" t="str">
            <v>BAÑO</v>
          </cell>
          <cell r="E427" t="str">
            <v>DUCHA CUADRADA NEGRA 4"</v>
          </cell>
          <cell r="F427" t="str">
            <v>-</v>
          </cell>
          <cell r="G427">
            <v>1</v>
          </cell>
          <cell r="H427">
            <v>0</v>
          </cell>
          <cell r="I427">
            <v>0</v>
          </cell>
          <cell r="J427" t="str">
            <v>PC</v>
          </cell>
        </row>
        <row r="428">
          <cell r="A428" t="str">
            <v>5560B</v>
          </cell>
          <cell r="B428"/>
          <cell r="C428"/>
          <cell r="D428" t="str">
            <v>BAÑO</v>
          </cell>
          <cell r="E428" t="str">
            <v>JUEGO DE ACCESORIOS ZINC 6 PIEZAS NEGRO</v>
          </cell>
          <cell r="F428" t="str">
            <v>-</v>
          </cell>
          <cell r="G428">
            <v>1</v>
          </cell>
          <cell r="H428">
            <v>0</v>
          </cell>
          <cell r="I428">
            <v>0</v>
          </cell>
          <cell r="J428" t="str">
            <v>PC</v>
          </cell>
        </row>
        <row r="429">
          <cell r="A429" t="str">
            <v>6545B-1</v>
          </cell>
          <cell r="B429"/>
          <cell r="C429"/>
          <cell r="D429" t="str">
            <v>COCINA</v>
          </cell>
          <cell r="E429" t="str">
            <v>LAVAPLATOS NEGRO PANAL</v>
          </cell>
          <cell r="F429" t="str">
            <v xml:space="preserve">65*45 </v>
          </cell>
          <cell r="G429">
            <v>1</v>
          </cell>
          <cell r="H429">
            <v>0</v>
          </cell>
          <cell r="I429">
            <v>0</v>
          </cell>
          <cell r="J429" t="str">
            <v>PC</v>
          </cell>
        </row>
        <row r="430">
          <cell r="A430" t="str">
            <v>RP012B</v>
          </cell>
          <cell r="B430"/>
          <cell r="C430"/>
          <cell r="D430" t="str">
            <v>COCINA</v>
          </cell>
          <cell r="E430" t="str">
            <v>LAVAVASOS NEGRO</v>
          </cell>
          <cell r="F430" t="str">
            <v>-</v>
          </cell>
          <cell r="G430">
            <v>1</v>
          </cell>
          <cell r="H430">
            <v>0</v>
          </cell>
          <cell r="I430">
            <v>0</v>
          </cell>
          <cell r="J430" t="str">
            <v>PC</v>
          </cell>
        </row>
        <row r="431">
          <cell r="A431" t="str">
            <v>HC0001</v>
          </cell>
          <cell r="B431"/>
          <cell r="C431"/>
          <cell r="D431" t="str">
            <v>BAÑO</v>
          </cell>
          <cell r="E431" t="str">
            <v>JABONERA DE COCINA SATINADA PLASTICA SATINADA</v>
          </cell>
          <cell r="F431" t="str">
            <v>-</v>
          </cell>
          <cell r="G431">
            <v>1</v>
          </cell>
          <cell r="H431">
            <v>0</v>
          </cell>
          <cell r="I431">
            <v>0</v>
          </cell>
          <cell r="J431" t="str">
            <v>PC</v>
          </cell>
        </row>
        <row r="432">
          <cell r="A432" t="str">
            <v>4540B</v>
          </cell>
          <cell r="B432"/>
          <cell r="C432"/>
          <cell r="D432" t="str">
            <v>COCINA</v>
          </cell>
          <cell r="E432" t="str">
            <v xml:space="preserve">LAVAPLATOS NEGRO </v>
          </cell>
          <cell r="F432" t="str">
            <v>45X40</v>
          </cell>
          <cell r="G432">
            <v>1</v>
          </cell>
          <cell r="H432">
            <v>0</v>
          </cell>
          <cell r="I432">
            <v>0</v>
          </cell>
          <cell r="J432" t="str">
            <v>PC</v>
          </cell>
        </row>
        <row r="433">
          <cell r="A433">
            <v>577</v>
          </cell>
          <cell r="B433" t="str">
            <v>HICASA</v>
          </cell>
          <cell r="C433"/>
          <cell r="D433" t="str">
            <v>BAÑO</v>
          </cell>
          <cell r="E433" t="str">
            <v>LAVAMANOS PORCELANA CUADRADA BLANCA</v>
          </cell>
          <cell r="F433" t="str">
            <v>31*41*14</v>
          </cell>
          <cell r="G433">
            <v>1</v>
          </cell>
          <cell r="H433" t="str">
            <v>-</v>
          </cell>
          <cell r="I433" t="str">
            <v>-</v>
          </cell>
          <cell r="J433" t="str">
            <v>PC</v>
          </cell>
        </row>
        <row r="434">
          <cell r="A434" t="str">
            <v>HC029</v>
          </cell>
          <cell r="B434" t="str">
            <v>HICASA</v>
          </cell>
          <cell r="C434"/>
          <cell r="D434" t="str">
            <v>BAÑO</v>
          </cell>
          <cell r="E434" t="str">
            <v>GRIFERIA MONOCONTROL LVM CUELLO RECTO BAJA CROMADA</v>
          </cell>
          <cell r="F434" t="str">
            <v>-</v>
          </cell>
          <cell r="G434">
            <v>1</v>
          </cell>
          <cell r="H434" t="str">
            <v>-</v>
          </cell>
          <cell r="I434" t="str">
            <v>-</v>
          </cell>
          <cell r="J434" t="str">
            <v>PC</v>
          </cell>
        </row>
        <row r="435">
          <cell r="A435">
            <v>819</v>
          </cell>
          <cell r="B435" t="str">
            <v>HICASA</v>
          </cell>
          <cell r="C435"/>
          <cell r="D435" t="str">
            <v>BAÑO</v>
          </cell>
          <cell r="E435" t="str">
            <v>LAVAMANOS CUADRADO</v>
          </cell>
          <cell r="F435" t="str">
            <v>360*360*140</v>
          </cell>
          <cell r="G435">
            <v>1</v>
          </cell>
          <cell r="H435" t="str">
            <v>-</v>
          </cell>
          <cell r="I435" t="str">
            <v>-</v>
          </cell>
          <cell r="J435" t="str">
            <v>PC</v>
          </cell>
        </row>
        <row r="436">
          <cell r="A436" t="str">
            <v>HC0054</v>
          </cell>
          <cell r="B436"/>
          <cell r="C436"/>
          <cell r="D436" t="str">
            <v>BAÑO</v>
          </cell>
          <cell r="E436" t="str">
            <v>MONOCONTROL DE DUCHA CUADRADO CROMADO</v>
          </cell>
          <cell r="F436" t="str">
            <v>-</v>
          </cell>
          <cell r="G436">
            <v>1</v>
          </cell>
          <cell r="H436">
            <v>0</v>
          </cell>
          <cell r="I436">
            <v>0</v>
          </cell>
          <cell r="J436" t="str">
            <v>PC</v>
          </cell>
        </row>
        <row r="437">
          <cell r="A437" t="str">
            <v>ZW-40</v>
          </cell>
          <cell r="B437"/>
          <cell r="C437"/>
          <cell r="D437" t="str">
            <v>BAÑO</v>
          </cell>
          <cell r="E437" t="str">
            <v>TUBO DUCHA CUADRADO</v>
          </cell>
          <cell r="F437" t="str">
            <v>40CM</v>
          </cell>
          <cell r="G437">
            <v>1</v>
          </cell>
          <cell r="H437">
            <v>0</v>
          </cell>
          <cell r="I437">
            <v>0</v>
          </cell>
          <cell r="J437" t="str">
            <v>PC</v>
          </cell>
        </row>
        <row r="438">
          <cell r="A438" t="str">
            <v>9402GY</v>
          </cell>
          <cell r="B438"/>
          <cell r="C438"/>
          <cell r="D438" t="str">
            <v>COCINA</v>
          </cell>
          <cell r="E438" t="str">
            <v>GRIFO HOMEGA</v>
          </cell>
          <cell r="F438" t="str">
            <v>-</v>
          </cell>
          <cell r="G438">
            <v>1</v>
          </cell>
          <cell r="H438" t="str">
            <v>-</v>
          </cell>
          <cell r="I438" t="str">
            <v>-</v>
          </cell>
          <cell r="J438" t="str">
            <v>PC</v>
          </cell>
        </row>
        <row r="439">
          <cell r="A439">
            <v>347</v>
          </cell>
          <cell r="B439"/>
          <cell r="C439"/>
          <cell r="D439" t="str">
            <v>OTROS</v>
          </cell>
          <cell r="E439" t="str">
            <v>PIRAGUA ALUMINIO REDONDA* MT</v>
          </cell>
          <cell r="F439" t="str">
            <v>-</v>
          </cell>
          <cell r="G439">
            <v>1</v>
          </cell>
          <cell r="H439" t="str">
            <v>-</v>
          </cell>
          <cell r="I439" t="str">
            <v>-</v>
          </cell>
          <cell r="J439" t="str">
            <v>PC</v>
          </cell>
        </row>
        <row r="440">
          <cell r="A440">
            <v>9002650</v>
          </cell>
          <cell r="B440" t="str">
            <v>YO SOY</v>
          </cell>
          <cell r="C440"/>
          <cell r="D440" t="str">
            <v>COCINA</v>
          </cell>
          <cell r="E440" t="str">
            <v xml:space="preserve">CAMPANA TOFU </v>
          </cell>
          <cell r="F440" t="str">
            <v>60V3 NE</v>
          </cell>
          <cell r="G440">
            <v>1</v>
          </cell>
          <cell r="H440" t="str">
            <v>-</v>
          </cell>
          <cell r="I440" t="str">
            <v>-</v>
          </cell>
          <cell r="J440" t="str">
            <v>PC</v>
          </cell>
        </row>
        <row r="441">
          <cell r="A441">
            <v>229683</v>
          </cell>
          <cell r="B441" t="str">
            <v>YO SOY</v>
          </cell>
          <cell r="C441"/>
          <cell r="D441"/>
          <cell r="E441" t="str">
            <v>LVP SOCODA SUBMONTAR BASIC</v>
          </cell>
          <cell r="F441" t="str">
            <v>60X40</v>
          </cell>
          <cell r="G441">
            <v>1</v>
          </cell>
          <cell r="H441" t="str">
            <v>-</v>
          </cell>
          <cell r="I441" t="str">
            <v>-</v>
          </cell>
          <cell r="J441" t="str">
            <v>PC</v>
          </cell>
        </row>
        <row r="442">
          <cell r="A442">
            <v>937620001</v>
          </cell>
          <cell r="B442" t="str">
            <v>YO SOY</v>
          </cell>
          <cell r="C442"/>
          <cell r="D442" t="str">
            <v>COCINA</v>
          </cell>
          <cell r="E442" t="str">
            <v>SIFON EN P CROMADO PARA LVP</v>
          </cell>
          <cell r="F442" t="str">
            <v>-</v>
          </cell>
          <cell r="G442">
            <v>1</v>
          </cell>
          <cell r="H442" t="str">
            <v>-</v>
          </cell>
          <cell r="I442" t="str">
            <v>-</v>
          </cell>
          <cell r="J442" t="str">
            <v>PC</v>
          </cell>
        </row>
        <row r="443">
          <cell r="A443" t="str">
            <v>G-S-8</v>
          </cell>
          <cell r="B443"/>
          <cell r="C443"/>
          <cell r="D443" t="str">
            <v>BAÑO</v>
          </cell>
          <cell r="E443" t="str">
            <v>DUCHA CUADRADA CROMADA 8"</v>
          </cell>
          <cell r="F443" t="str">
            <v>-</v>
          </cell>
          <cell r="G443">
            <v>1</v>
          </cell>
          <cell r="H443">
            <v>0</v>
          </cell>
          <cell r="I443">
            <v>0</v>
          </cell>
          <cell r="J443" t="str">
            <v>PC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EGA 26 NOVIEMBRE # 2 "/>
      <sheetName val="ENTREGA 26 NOV # 2"/>
      <sheetName val="ENTREGA 26 NOV # 3"/>
      <sheetName val="ENTREGA 26 NOV #4"/>
      <sheetName val="ENTREGA 26 NOVIEMBRE # 5"/>
      <sheetName val="MODELO PROFOR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85B7-FC46-4416-BC75-8FE88E353B43}">
  <sheetPr codeName="Hoja21">
    <pageSetUpPr fitToPage="1"/>
  </sheetPr>
  <dimension ref="A1:P35"/>
  <sheetViews>
    <sheetView tabSelected="1" topLeftCell="A19" zoomScale="60" zoomScaleNormal="60" zoomScaleSheetLayoutView="51" workbookViewId="0">
      <selection activeCell="M25" sqref="M25"/>
    </sheetView>
  </sheetViews>
  <sheetFormatPr baseColWidth="10" defaultColWidth="11" defaultRowHeight="15" x14ac:dyDescent="0.25"/>
  <cols>
    <col min="1" max="1" width="33.375" style="3" customWidth="1"/>
    <col min="2" max="2" width="25.25" style="3" customWidth="1"/>
    <col min="3" max="3" width="33.75" style="3" customWidth="1"/>
    <col min="4" max="4" width="16.375" style="3" customWidth="1"/>
    <col min="5" max="5" width="12.125" style="3" customWidth="1"/>
    <col min="6" max="6" width="13.5" style="3" customWidth="1"/>
    <col min="7" max="7" width="14.125" style="3" customWidth="1"/>
    <col min="8" max="8" width="14.375" style="3" customWidth="1"/>
    <col min="9" max="10" width="19.25" style="3" bestFit="1" customWidth="1"/>
    <col min="11" max="11" width="12" style="3" customWidth="1"/>
    <col min="12" max="12" width="18.375" style="3" customWidth="1"/>
    <col min="13" max="13" width="8" style="3" customWidth="1"/>
    <col min="14" max="14" width="15.375" style="3" customWidth="1"/>
    <col min="15" max="15" width="8" style="3" customWidth="1"/>
    <col min="16" max="16" width="27.375" style="3" customWidth="1"/>
    <col min="17" max="17" width="5.25" style="3" customWidth="1"/>
    <col min="18" max="19" width="16.375" style="3" customWidth="1"/>
    <col min="20" max="16384" width="11" style="3"/>
  </cols>
  <sheetData>
    <row r="1" spans="1:16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75" customHeight="1" x14ac:dyDescent="0.2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5.75" customHeight="1" x14ac:dyDescent="0.25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72.75" x14ac:dyDescent="0.25">
      <c r="A5" s="4"/>
      <c r="B5" s="5"/>
      <c r="C5" s="5"/>
      <c r="D5" s="6" t="s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45.75" x14ac:dyDescent="0.25">
      <c r="A6" s="4"/>
      <c r="B6" s="5"/>
      <c r="C6" s="5"/>
      <c r="D6" s="7" t="s">
        <v>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45.75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45.75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5" customHeight="1" x14ac:dyDescent="0.25">
      <c r="A9" s="1"/>
      <c r="B9" s="8" t="s">
        <v>2</v>
      </c>
      <c r="C9" s="8"/>
      <c r="D9" s="8"/>
      <c r="E9" s="8"/>
      <c r="F9" s="8"/>
      <c r="G9" s="8"/>
      <c r="H9" s="8"/>
      <c r="I9" s="9">
        <v>23</v>
      </c>
      <c r="J9" s="10"/>
      <c r="K9" s="10"/>
      <c r="L9" s="10"/>
      <c r="M9" s="10"/>
      <c r="N9" s="10"/>
      <c r="O9" s="10"/>
      <c r="P9" s="10"/>
    </row>
    <row r="10" spans="1:16" ht="15" customHeight="1" x14ac:dyDescent="0.25">
      <c r="A10" s="1"/>
      <c r="B10" s="8"/>
      <c r="C10" s="8"/>
      <c r="D10" s="8"/>
      <c r="E10" s="8"/>
      <c r="F10" s="8"/>
      <c r="G10" s="8"/>
      <c r="H10" s="8"/>
      <c r="I10" s="9"/>
      <c r="J10" s="10"/>
      <c r="K10" s="10"/>
      <c r="L10" s="10"/>
      <c r="M10" s="10"/>
      <c r="N10" s="10"/>
      <c r="O10" s="10"/>
      <c r="P10" s="10"/>
    </row>
    <row r="11" spans="1:16" ht="15.75" x14ac:dyDescent="0.25">
      <c r="A11" s="1"/>
      <c r="I11" s="11"/>
    </row>
    <row r="12" spans="1:16" s="14" customFormat="1" ht="23.25" x14ac:dyDescent="0.25">
      <c r="A12" s="12"/>
      <c r="B12" s="13" t="s">
        <v>3</v>
      </c>
      <c r="C12" s="13"/>
      <c r="D12" s="13"/>
      <c r="E12" s="13"/>
      <c r="G12" s="15" t="s">
        <v>4</v>
      </c>
      <c r="H12" s="15"/>
      <c r="I12" s="16">
        <v>46057</v>
      </c>
      <c r="J12" s="16"/>
      <c r="K12" s="16"/>
      <c r="L12" s="16"/>
      <c r="M12" s="17"/>
      <c r="N12" s="18" t="s">
        <v>5</v>
      </c>
      <c r="O12" s="18"/>
      <c r="P12" s="19" t="s">
        <v>6</v>
      </c>
    </row>
    <row r="13" spans="1:16" s="14" customFormat="1" ht="36.75" customHeight="1" x14ac:dyDescent="0.25">
      <c r="A13" s="12"/>
      <c r="B13" s="20" t="s">
        <v>7</v>
      </c>
      <c r="C13" s="21" t="str">
        <f>+IF(C14="","",VLOOKUP(C14,'[1]DATOS CLIENTES '!$A$2:$I$189,3,FALSE))</f>
        <v>NICOLAS MEDINA SALGADO</v>
      </c>
      <c r="D13" s="22"/>
      <c r="E13" s="23"/>
      <c r="G13" s="15" t="s">
        <v>8</v>
      </c>
      <c r="H13" s="15"/>
      <c r="I13" s="24" t="s">
        <v>9</v>
      </c>
      <c r="J13" s="24"/>
      <c r="K13" s="24"/>
      <c r="L13" s="24"/>
      <c r="M13" s="17"/>
      <c r="N13" s="18"/>
      <c r="O13" s="18"/>
      <c r="P13" s="19"/>
    </row>
    <row r="14" spans="1:16" s="14" customFormat="1" ht="23.25" x14ac:dyDescent="0.25">
      <c r="A14" s="12"/>
      <c r="B14" s="20" t="s">
        <v>10</v>
      </c>
      <c r="C14" s="25" t="s">
        <v>11</v>
      </c>
      <c r="D14" s="26"/>
      <c r="E14" s="27"/>
      <c r="G14" s="15" t="s">
        <v>12</v>
      </c>
      <c r="H14" s="15"/>
      <c r="I14" s="28">
        <v>3176416122</v>
      </c>
      <c r="J14" s="28"/>
      <c r="K14" s="28"/>
      <c r="L14" s="28"/>
      <c r="M14" s="29"/>
      <c r="N14" s="29"/>
    </row>
    <row r="15" spans="1:16" s="14" customFormat="1" ht="23.25" x14ac:dyDescent="0.25">
      <c r="A15" s="12"/>
      <c r="B15" s="20" t="s">
        <v>13</v>
      </c>
      <c r="C15" s="21" t="str">
        <f>+IF(C14="","",VLOOKUP(C14,'[1]DATOS CLIENTES '!$A$2:$I$189,2,FALSE))</f>
        <v>NICOLAS MEDINA</v>
      </c>
      <c r="D15" s="22"/>
      <c r="E15" s="23"/>
      <c r="G15" s="15" t="s">
        <v>14</v>
      </c>
      <c r="H15" s="15"/>
      <c r="I15" s="28" t="s">
        <v>15</v>
      </c>
      <c r="J15" s="28"/>
      <c r="K15" s="28"/>
      <c r="L15" s="28"/>
      <c r="M15" s="29"/>
      <c r="N15" s="30"/>
      <c r="O15" s="30"/>
      <c r="P15" s="30"/>
    </row>
    <row r="16" spans="1:16" s="14" customFormat="1" ht="23.25" x14ac:dyDescent="0.25">
      <c r="A16" s="12"/>
      <c r="B16" s="20" t="s">
        <v>12</v>
      </c>
      <c r="C16" s="31" t="str">
        <f>+IF(C14="","",VLOOKUP(C14,'[1]DATOS CLIENTES '!$A$2:$I$189,7,FALSE))</f>
        <v>3153427274-3187019530</v>
      </c>
      <c r="D16" s="32"/>
      <c r="E16" s="33"/>
      <c r="M16" s="29"/>
      <c r="N16" s="30"/>
      <c r="O16" s="30"/>
      <c r="P16" s="30"/>
    </row>
    <row r="17" spans="1:16" s="14" customFormat="1" ht="46.5" customHeight="1" x14ac:dyDescent="0.25">
      <c r="A17" s="12"/>
      <c r="B17" s="34" t="s">
        <v>16</v>
      </c>
      <c r="C17" s="35" t="str">
        <f>+IF(C14="","",VLOOKUP(C14,'[1]DATOS CLIENTES '!$A$2:$I$189,9,FALSE))</f>
        <v>NMEDINAS.EMPRESARIAL@GMAILCOM</v>
      </c>
      <c r="D17" s="35"/>
      <c r="E17" s="35"/>
      <c r="G17" s="36" t="s">
        <v>17</v>
      </c>
      <c r="H17" s="37"/>
      <c r="I17" s="38"/>
      <c r="J17" s="39"/>
      <c r="K17" s="39"/>
      <c r="L17" s="40"/>
      <c r="N17" s="41"/>
      <c r="O17" s="41"/>
      <c r="P17" s="41"/>
    </row>
    <row r="18" spans="1:16" s="14" customFormat="1" ht="23.25" x14ac:dyDescent="0.25">
      <c r="A18" s="12"/>
      <c r="B18" s="20" t="s">
        <v>18</v>
      </c>
      <c r="C18" s="31" t="str">
        <f>+IF(C14="","",VLOOKUP(C14,'[1]DATOS CLIENTES '!$A$2:$I$189,5,FALSE))</f>
        <v>CR 9 70 09</v>
      </c>
      <c r="D18" s="32"/>
      <c r="E18" s="33"/>
      <c r="F18" s="42"/>
      <c r="G18" s="43"/>
      <c r="H18" s="44"/>
      <c r="I18" s="45"/>
      <c r="J18" s="46"/>
      <c r="K18" s="46"/>
      <c r="L18" s="47"/>
      <c r="N18" s="48"/>
      <c r="O18" s="48"/>
      <c r="P18" s="48"/>
    </row>
    <row r="19" spans="1:16" s="14" customFormat="1" ht="23.25" x14ac:dyDescent="0.25">
      <c r="A19" s="12"/>
      <c r="B19" s="20" t="s">
        <v>19</v>
      </c>
      <c r="C19" s="31" t="str">
        <f>+IF(C14="","",VLOOKUP(C14,'[1]DATOS CLIENTES '!$A$2:$I$189,6,FALSE))</f>
        <v>CALI</v>
      </c>
      <c r="D19" s="32"/>
      <c r="E19" s="33"/>
      <c r="F19" s="42"/>
      <c r="G19" s="42"/>
      <c r="H19" s="42"/>
      <c r="N19" s="48"/>
      <c r="O19" s="48"/>
      <c r="P19" s="48"/>
    </row>
    <row r="20" spans="1:16" x14ac:dyDescent="0.25">
      <c r="A20" s="1"/>
      <c r="N20" s="49"/>
      <c r="O20" s="49"/>
      <c r="P20" s="49"/>
    </row>
    <row r="21" spans="1:16" s="52" customFormat="1" ht="51.75" customHeight="1" x14ac:dyDescent="0.25">
      <c r="A21" s="50" t="s">
        <v>20</v>
      </c>
      <c r="B21" s="50" t="s">
        <v>21</v>
      </c>
      <c r="C21" s="50" t="s">
        <v>22</v>
      </c>
      <c r="D21" s="50" t="s">
        <v>23</v>
      </c>
      <c r="E21" s="50" t="s">
        <v>24</v>
      </c>
      <c r="F21" s="50" t="s">
        <v>25</v>
      </c>
      <c r="G21" s="50" t="s">
        <v>26</v>
      </c>
      <c r="H21" s="50" t="s">
        <v>27</v>
      </c>
      <c r="I21" s="50" t="s">
        <v>28</v>
      </c>
      <c r="J21" s="50" t="s">
        <v>29</v>
      </c>
      <c r="K21" s="50" t="s">
        <v>30</v>
      </c>
      <c r="L21" s="50" t="s">
        <v>31</v>
      </c>
      <c r="M21" s="51" t="s">
        <v>32</v>
      </c>
      <c r="N21" s="51"/>
      <c r="O21" s="51" t="s">
        <v>33</v>
      </c>
      <c r="P21" s="51"/>
    </row>
    <row r="22" spans="1:16" s="52" customFormat="1" ht="171.75" customHeight="1" x14ac:dyDescent="0.25">
      <c r="A22" s="53"/>
      <c r="B22" s="34">
        <v>5073</v>
      </c>
      <c r="C22" s="54" t="str">
        <f>+IF(B22="","",VLOOKUP(B22,'[2]MAESTRO REFERENCIA'!$A$3:$I$1023,5,FALSE))</f>
        <v>PORCELATO ALBA</v>
      </c>
      <c r="D22" s="54" t="str">
        <f>+IF(B22="","",VLOOKUP(B22,'[2]MAESTRO REFERENCIA'!$A$3:$I$524,6,FALSE))</f>
        <v>60X60</v>
      </c>
      <c r="E22" s="54">
        <f>+IF(B22="","",VLOOKUP(B22,'[2]MAESTRO REFERENCIA'!$A$3:$I$524,7,FALSE))</f>
        <v>1.44</v>
      </c>
      <c r="F22" s="54" t="str">
        <f>+IF(B22="","",VLOOKUP(B22,'[2]MAESTRO REFERENCIA'!$A$3:$J$1023,10,FALSE))</f>
        <v>CAJA</v>
      </c>
      <c r="G22" s="20">
        <f>1/4*3+156</f>
        <v>156.75</v>
      </c>
      <c r="H22" s="54">
        <f>+IF(B22="","",VLOOKUP(B22,'[2]MAESTRO REFERENCIA'!$A$3:$I$1023,9,FALSE))</f>
        <v>27</v>
      </c>
      <c r="I22" s="54">
        <f>IF(B22="","",H22*G22)</f>
        <v>4232.25</v>
      </c>
      <c r="J22" s="54">
        <f>IF(B22="","",G22*E22)</f>
        <v>225.72</v>
      </c>
      <c r="K22" s="54">
        <f>+IF(B22="","",VLOOKUP(B22,'[2]MAESTRO REFERENCIA'!$A$3:$I$1023,8,FALSE))</f>
        <v>40</v>
      </c>
      <c r="L22" s="54">
        <f>IF(B22="","",G22/K22)</f>
        <v>3.9187500000000002</v>
      </c>
      <c r="M22" s="55">
        <v>33500</v>
      </c>
      <c r="N22" s="56"/>
      <c r="O22" s="57">
        <f>IF(M22="","",M22*J22)</f>
        <v>7561620</v>
      </c>
      <c r="P22" s="58"/>
    </row>
    <row r="23" spans="1:16" s="52" customFormat="1" ht="171.75" customHeight="1" x14ac:dyDescent="0.25">
      <c r="A23" s="53"/>
      <c r="B23" s="34" t="s">
        <v>34</v>
      </c>
      <c r="C23" s="54" t="str">
        <f>+IF(B23="","",VLOOKUP(B23,'[2]MAESTRO REFERENCIA'!$A$3:$I$1023,5,FALSE))</f>
        <v>PORCELANATO AMPARO</v>
      </c>
      <c r="D23" s="54" t="str">
        <f>+IF(B23="","",VLOOKUP(B23,'[2]MAESTRO REFERENCIA'!$A$3:$I$524,6,FALSE))</f>
        <v>60X60</v>
      </c>
      <c r="E23" s="54">
        <f>+IF(B23="","",VLOOKUP(B23,'[2]MAESTRO REFERENCIA'!$A$3:$I$524,7,FALSE))</f>
        <v>1.44</v>
      </c>
      <c r="F23" s="54" t="str">
        <f>+IF(B23="","",VLOOKUP(B23,'[2]MAESTRO REFERENCIA'!$A$3:$J$1023,10,FALSE))</f>
        <v>CAJA</v>
      </c>
      <c r="G23" s="20">
        <v>176</v>
      </c>
      <c r="H23" s="54">
        <f>+IF(B23="","",VLOOKUP(B23,'[2]MAESTRO REFERENCIA'!$A$3:$I$1023,9,FALSE))</f>
        <v>27</v>
      </c>
      <c r="I23" s="54">
        <f>IF(B23="","",H23*G23)</f>
        <v>4752</v>
      </c>
      <c r="J23" s="54">
        <f>IF(B23="","",G23*E23)</f>
        <v>253.44</v>
      </c>
      <c r="K23" s="54">
        <f>+IF(B23="","",VLOOKUP(B23,'[2]MAESTRO REFERENCIA'!$A$3:$I$1023,8,FALSE))</f>
        <v>44</v>
      </c>
      <c r="L23" s="54">
        <f>IF(B23="","",G23/K23)</f>
        <v>4</v>
      </c>
      <c r="M23" s="55">
        <v>33500</v>
      </c>
      <c r="N23" s="56"/>
      <c r="O23" s="57">
        <f>IF(M23="","",M23*J23)</f>
        <v>8490240</v>
      </c>
      <c r="P23" s="58"/>
    </row>
    <row r="24" spans="1:16" s="60" customFormat="1" ht="27.75" x14ac:dyDescent="0.25">
      <c r="A24" s="59"/>
      <c r="C24" s="61" t="s">
        <v>35</v>
      </c>
      <c r="D24" s="62"/>
      <c r="E24" s="62"/>
      <c r="F24" s="62"/>
      <c r="G24" s="63">
        <f>SUM(G22:G23)</f>
        <v>332.75</v>
      </c>
      <c r="H24" s="62"/>
      <c r="I24" s="63">
        <f>SUM(I22:I23)</f>
        <v>8984.25</v>
      </c>
      <c r="J24" s="63">
        <f>SUM(J22:J23)</f>
        <v>479.15999999999997</v>
      </c>
      <c r="K24" s="62"/>
      <c r="L24" s="64">
        <f>SUM(L22:L23)</f>
        <v>7.9187500000000002</v>
      </c>
      <c r="M24" s="65"/>
      <c r="N24" s="66"/>
      <c r="O24" s="67">
        <f>SUM(O22:P23)</f>
        <v>16051860</v>
      </c>
      <c r="P24" s="68"/>
    </row>
    <row r="25" spans="1:16" s="11" customFormat="1" ht="27.75" x14ac:dyDescent="0.25">
      <c r="A25" s="69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</row>
    <row r="26" spans="1:16" s="11" customFormat="1" ht="28.5" thickBot="1" x14ac:dyDescent="0.3">
      <c r="A26" s="69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</row>
    <row r="27" spans="1:16" s="11" customFormat="1" ht="27.75" customHeight="1" x14ac:dyDescent="0.25">
      <c r="A27" s="69"/>
      <c r="B27" s="70" t="s">
        <v>36</v>
      </c>
      <c r="C27" s="71"/>
      <c r="D27" s="71"/>
      <c r="E27" s="71"/>
      <c r="F27" s="72"/>
      <c r="G27" s="73"/>
      <c r="H27" s="74" t="s">
        <v>37</v>
      </c>
      <c r="I27" s="75"/>
      <c r="J27" s="75"/>
      <c r="K27" s="76"/>
      <c r="L27" s="62"/>
      <c r="M27" s="77"/>
      <c r="N27" s="77"/>
      <c r="O27" s="77"/>
      <c r="P27" s="77"/>
    </row>
    <row r="28" spans="1:16" s="11" customFormat="1" ht="27.75" customHeight="1" x14ac:dyDescent="0.25">
      <c r="A28" s="69"/>
      <c r="B28" s="78" t="s">
        <v>38</v>
      </c>
      <c r="C28" s="79"/>
      <c r="D28" s="79"/>
      <c r="E28" s="79"/>
      <c r="F28" s="80"/>
      <c r="G28" s="73"/>
      <c r="H28" s="81" t="s">
        <v>39</v>
      </c>
      <c r="I28" s="82"/>
      <c r="J28" s="82"/>
      <c r="K28" s="83"/>
      <c r="L28" s="62"/>
      <c r="M28" s="77"/>
      <c r="N28" s="77"/>
      <c r="O28" s="77"/>
      <c r="P28" s="77"/>
    </row>
    <row r="29" spans="1:16" s="11" customFormat="1" ht="27.75" customHeight="1" x14ac:dyDescent="0.25">
      <c r="A29" s="69"/>
      <c r="B29" s="78" t="s">
        <v>40</v>
      </c>
      <c r="C29" s="79"/>
      <c r="D29" s="79"/>
      <c r="E29" s="79"/>
      <c r="F29" s="80"/>
      <c r="G29" s="73"/>
      <c r="H29" s="81"/>
      <c r="I29" s="82"/>
      <c r="J29" s="82"/>
      <c r="K29" s="83"/>
      <c r="L29" s="62"/>
      <c r="M29" s="77"/>
      <c r="N29" s="77"/>
      <c r="O29" s="77"/>
      <c r="P29" s="77"/>
    </row>
    <row r="30" spans="1:16" s="11" customFormat="1" ht="27.75" customHeight="1" thickBot="1" x14ac:dyDescent="0.3">
      <c r="A30" s="69"/>
      <c r="B30" s="84">
        <v>81200001736</v>
      </c>
      <c r="C30" s="85"/>
      <c r="D30" s="85"/>
      <c r="E30" s="85"/>
      <c r="F30" s="86"/>
      <c r="G30" s="73"/>
      <c r="H30" s="81"/>
      <c r="I30" s="82"/>
      <c r="J30" s="82"/>
      <c r="K30" s="83"/>
      <c r="L30" s="62"/>
      <c r="M30" s="77"/>
      <c r="N30" s="77"/>
      <c r="O30" s="77"/>
      <c r="P30" s="77"/>
    </row>
    <row r="31" spans="1:16" s="11" customFormat="1" ht="27.75" x14ac:dyDescent="0.25">
      <c r="A31" s="69"/>
      <c r="B31" s="62"/>
      <c r="C31" s="62"/>
      <c r="D31" s="87"/>
      <c r="E31" s="87"/>
      <c r="F31" s="62"/>
      <c r="G31" s="62"/>
      <c r="H31" s="62"/>
      <c r="I31" s="62"/>
      <c r="J31" s="62"/>
      <c r="K31" s="62"/>
      <c r="L31" s="62"/>
      <c r="M31" s="88"/>
      <c r="N31" s="88"/>
      <c r="O31" s="89"/>
      <c r="P31" s="89"/>
    </row>
    <row r="32" spans="1:16" s="11" customFormat="1" ht="27.75" x14ac:dyDescent="0.25">
      <c r="A32" s="69"/>
      <c r="B32" s="90" t="s">
        <v>41</v>
      </c>
      <c r="C32" s="90"/>
      <c r="D32" s="90"/>
      <c r="E32" s="90"/>
      <c r="F32" s="90"/>
      <c r="G32" s="90"/>
      <c r="H32" s="90"/>
      <c r="I32" s="90"/>
      <c r="J32" s="90"/>
      <c r="K32" s="91"/>
      <c r="L32" s="92"/>
      <c r="M32" s="93"/>
      <c r="N32" s="93"/>
      <c r="O32" s="94"/>
      <c r="P32" s="94"/>
    </row>
    <row r="33" spans="1:16" s="11" customFormat="1" ht="27.75" x14ac:dyDescent="0.25">
      <c r="A33" s="69"/>
      <c r="B33" s="95" t="s">
        <v>42</v>
      </c>
      <c r="C33" s="95"/>
      <c r="D33" s="95"/>
      <c r="E33" s="95"/>
      <c r="F33" s="95"/>
      <c r="G33" s="95"/>
      <c r="H33" s="95"/>
      <c r="I33" s="95"/>
      <c r="J33" s="95"/>
      <c r="K33" s="96"/>
      <c r="L33" s="92"/>
      <c r="O33" s="97"/>
      <c r="P33" s="97"/>
    </row>
    <row r="34" spans="1:16" s="11" customFormat="1" ht="27" x14ac:dyDescent="0.25">
      <c r="A34" s="69"/>
      <c r="B34" s="95" t="s">
        <v>43</v>
      </c>
      <c r="C34" s="95"/>
      <c r="D34" s="95"/>
      <c r="E34" s="95"/>
      <c r="F34" s="95"/>
      <c r="G34" s="95"/>
      <c r="H34" s="95"/>
      <c r="I34" s="95"/>
      <c r="J34" s="95"/>
      <c r="K34" s="98"/>
      <c r="L34" s="99"/>
      <c r="O34" s="97"/>
      <c r="P34" s="97"/>
    </row>
    <row r="35" spans="1:16" s="11" customFormat="1" ht="27" x14ac:dyDescent="0.25">
      <c r="A35" s="69"/>
      <c r="B35" s="95" t="s">
        <v>44</v>
      </c>
      <c r="C35" s="95"/>
      <c r="D35" s="95"/>
      <c r="E35" s="95"/>
      <c r="F35" s="95"/>
      <c r="G35" s="95"/>
      <c r="H35" s="95"/>
      <c r="I35" s="95"/>
      <c r="J35" s="95"/>
      <c r="K35" s="100"/>
      <c r="L35" s="99"/>
      <c r="M35" s="99"/>
      <c r="O35" s="101"/>
      <c r="P35" s="14"/>
    </row>
  </sheetData>
  <mergeCells count="49">
    <mergeCell ref="B33:J33"/>
    <mergeCell ref="B34:J34"/>
    <mergeCell ref="B35:J35"/>
    <mergeCell ref="D31:E31"/>
    <mergeCell ref="M31:N31"/>
    <mergeCell ref="O31:P31"/>
    <mergeCell ref="B32:J32"/>
    <mergeCell ref="M32:N32"/>
    <mergeCell ref="O32:P32"/>
    <mergeCell ref="M24:N24"/>
    <mergeCell ref="O24:P24"/>
    <mergeCell ref="B27:F27"/>
    <mergeCell ref="H27:K27"/>
    <mergeCell ref="B28:F28"/>
    <mergeCell ref="H28:K30"/>
    <mergeCell ref="B29:F29"/>
    <mergeCell ref="B30:F30"/>
    <mergeCell ref="M21:N21"/>
    <mergeCell ref="O21:P21"/>
    <mergeCell ref="M22:N22"/>
    <mergeCell ref="O22:P22"/>
    <mergeCell ref="M23:N23"/>
    <mergeCell ref="O23:P23"/>
    <mergeCell ref="C16:E16"/>
    <mergeCell ref="C17:E17"/>
    <mergeCell ref="G17:H18"/>
    <mergeCell ref="I17:L18"/>
    <mergeCell ref="C18:E18"/>
    <mergeCell ref="C19:E19"/>
    <mergeCell ref="C14:E14"/>
    <mergeCell ref="G14:H14"/>
    <mergeCell ref="I14:L14"/>
    <mergeCell ref="C15:E15"/>
    <mergeCell ref="G15:H15"/>
    <mergeCell ref="I15:L15"/>
    <mergeCell ref="B12:E12"/>
    <mergeCell ref="G12:H12"/>
    <mergeCell ref="I12:L12"/>
    <mergeCell ref="N12:O13"/>
    <mergeCell ref="P12:P13"/>
    <mergeCell ref="C13:E13"/>
    <mergeCell ref="G13:H13"/>
    <mergeCell ref="I13:L13"/>
    <mergeCell ref="B1:P2"/>
    <mergeCell ref="B3:P4"/>
    <mergeCell ref="D5:P5"/>
    <mergeCell ref="D6:P6"/>
    <mergeCell ref="B9:H10"/>
    <mergeCell ref="I9:I10"/>
  </mergeCells>
  <pageMargins left="0.25" right="0.25" top="0.75" bottom="0.75" header="0.3" footer="0.3"/>
  <pageSetup paperSize="9" scale="3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MODELO PROFORMA</vt:lpstr>
      <vt:lpstr>'MODELO PROFORMA'!Área_de_impresión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Espinosa</dc:creator>
  <cp:lastModifiedBy>Julian Espinosa</cp:lastModifiedBy>
  <dcterms:created xsi:type="dcterms:W3CDTF">2026-02-19T04:11:40Z</dcterms:created>
  <dcterms:modified xsi:type="dcterms:W3CDTF">2026-02-19T04:12:00Z</dcterms:modified>
</cp:coreProperties>
</file>